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24226"/>
  <mc:AlternateContent xmlns:mc="http://schemas.openxmlformats.org/markup-compatibility/2006">
    <mc:Choice Requires="x15">
      <x15ac:absPath xmlns:x15ac="http://schemas.microsoft.com/office/spreadsheetml/2010/11/ac" url="\\eyedata001\SMD\EYE Quotation 2026\QTE-26-212-EM-CDO Malvar-GP Marine-Aumpack Automation\"/>
    </mc:Choice>
  </mc:AlternateContent>
  <xr:revisionPtr revIDLastSave="0" documentId="13_ncr:1_{080F4EBC-E4B5-4008-B64C-DA72F023E8F3}" xr6:coauthVersionLast="46" xr6:coauthVersionMax="47" xr10:uidLastSave="{00000000-0000-0000-0000-000000000000}"/>
  <bookViews>
    <workbookView xWindow="-120" yWindow="-120" windowWidth="20730" windowHeight="11160" activeTab="1" xr2:uid="{00000000-000D-0000-FFFF-FFFF00000000}"/>
  </bookViews>
  <sheets>
    <sheet name="COVER LETTER" sheetId="3" r:id="rId1"/>
    <sheet name="Table 1" sheetId="1"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a" localSheetId="0">#REF!</definedName>
    <definedName name="\a">#REF!</definedName>
    <definedName name="\b" localSheetId="0">#REF!</definedName>
    <definedName name="\b">#REF!</definedName>
    <definedName name="\c" localSheetId="0">#REF!</definedName>
    <definedName name="\c">#REF!</definedName>
    <definedName name="\d" localSheetId="0">#REF!</definedName>
    <definedName name="\d">#REF!</definedName>
    <definedName name="\e" localSheetId="0">#REF!</definedName>
    <definedName name="\e">#REF!</definedName>
    <definedName name="\f" localSheetId="0">#REF!</definedName>
    <definedName name="\f">#REF!</definedName>
    <definedName name="\g" localSheetId="0">#REF!</definedName>
    <definedName name="\g">#REF!</definedName>
    <definedName name="\h" localSheetId="0">#REF!</definedName>
    <definedName name="\h">#REF!</definedName>
    <definedName name="_____LV1">#REF!</definedName>
    <definedName name="_____LV5">#REF!</definedName>
    <definedName name="_____LV7">#REF!</definedName>
    <definedName name="_____MK2">#REF!</definedName>
    <definedName name="____LV1">#REF!</definedName>
    <definedName name="____LV5">#REF!</definedName>
    <definedName name="____LV7">#REF!</definedName>
    <definedName name="____MK2">#REF!</definedName>
    <definedName name="___LV1">#REF!</definedName>
    <definedName name="___LV5">#REF!</definedName>
    <definedName name="___LV7">#REF!</definedName>
    <definedName name="___MK2">#REF!</definedName>
    <definedName name="__LV1">#REF!</definedName>
    <definedName name="__LV5">#REF!</definedName>
    <definedName name="__LV7">#REF!</definedName>
    <definedName name="__MK2">#REF!</definedName>
    <definedName name="__xlfn.QUARTILE.EXC" hidden="1">#NAME?</definedName>
    <definedName name="_2Excel_BuiltIn_Print_Area_2_1" localSheetId="0">#REF!</definedName>
    <definedName name="_2Excel_BuiltIn_Print_Area_2_1">#REF!</definedName>
    <definedName name="_LV1" localSheetId="0">#REF!</definedName>
    <definedName name="_LV1">#REF!</definedName>
    <definedName name="_LV5" localSheetId="0">#REF!</definedName>
    <definedName name="_LV5">#REF!</definedName>
    <definedName name="_LV7">#REF!</definedName>
    <definedName name="_MK2">#REF!</definedName>
    <definedName name="_PL22" localSheetId="0">#REF!</definedName>
    <definedName name="_PL22">#REF!</definedName>
    <definedName name="_WIN22" localSheetId="0">#REF!</definedName>
    <definedName name="_WIN22">#REF!</definedName>
    <definedName name="A" localSheetId="0">#REF!</definedName>
    <definedName name="A">#REF!</definedName>
    <definedName name="AA" localSheetId="0">#REF!</definedName>
    <definedName name="AA">#REF!</definedName>
    <definedName name="AAA">#REF!</definedName>
    <definedName name="AAAAA" localSheetId="0">#REF!</definedName>
    <definedName name="AAAAA">#REF!</definedName>
    <definedName name="ADJ">'[1]BOQ-M'!#REF!</definedName>
    <definedName name="ARDED" localSheetId="0">#REF!</definedName>
    <definedName name="ARDED">#REF!</definedName>
    <definedName name="B" localSheetId="0">#REF!</definedName>
    <definedName name="B">#REF!</definedName>
    <definedName name="BOQDate" localSheetId="0">#REF!</definedName>
    <definedName name="BOQDate">#REF!</definedName>
    <definedName name="BuiltIn_Print_Area" localSheetId="0">#REF!</definedName>
    <definedName name="BuiltIn_Print_Area">#REF!</definedName>
    <definedName name="BuiltIn_Print_Area___0" localSheetId="0">#REF!</definedName>
    <definedName name="BuiltIn_Print_Area___0">#REF!</definedName>
    <definedName name="BuiltIn_Print_Area___0___0" localSheetId="0">#REF!</definedName>
    <definedName name="BuiltIn_Print_Area___0___0">#REF!</definedName>
    <definedName name="BuiltIn_Print_Area___0___0___0" localSheetId="0">#REF!</definedName>
    <definedName name="BuiltIn_Print_Area___0___0___0">#REF!</definedName>
    <definedName name="BuiltIn_Print_Area___0___0___0___0" localSheetId="0">#REF!</definedName>
    <definedName name="BuiltIn_Print_Area___0___0___0___0">#REF!</definedName>
    <definedName name="BuiltIn_Print_Area___0___0___0___0___0" localSheetId="0">#REF!</definedName>
    <definedName name="BuiltIn_Print_Area___0___0___0___0___0">#REF!</definedName>
    <definedName name="BuiltIn_Print_Titles" localSheetId="0">#REF!</definedName>
    <definedName name="BuiltIn_Print_Titles">#REF!</definedName>
    <definedName name="BuiltIn_Print_Titles___0" localSheetId="0">#REF!</definedName>
    <definedName name="BuiltIn_Print_Titles___0">#REF!</definedName>
    <definedName name="BuiltIn_Print_Titles___0___0" localSheetId="0">#REF!</definedName>
    <definedName name="BuiltIn_Print_Titles___0___0">#REF!</definedName>
    <definedName name="BuiltIn_Print_Titles___0___0___0" localSheetId="0">#REF!</definedName>
    <definedName name="BuiltIn_Print_Titles___0___0___0">#REF!</definedName>
    <definedName name="BuiltIn_Print_Titles___0___0___0___0">NA()</definedName>
    <definedName name="BuiltIn_Print_Titles___1___1___1" localSheetId="0">#REF!</definedName>
    <definedName name="BuiltIn_Print_Titles___1___1___1">#REF!</definedName>
    <definedName name="CCCC" localSheetId="0">#REF!</definedName>
    <definedName name="CCCC">#REF!</definedName>
    <definedName name="CON" localSheetId="0">#REF!</definedName>
    <definedName name="CON">#REF!</definedName>
    <definedName name="conditions">[2]conditions!$A$1:$A$2</definedName>
    <definedName name="COSTBUDGET" localSheetId="0">#REF!</definedName>
    <definedName name="COSTBUDGET">#REF!</definedName>
    <definedName name="COSTING" localSheetId="0">#REF!</definedName>
    <definedName name="COSTING">#REF!</definedName>
    <definedName name="D" localSheetId="0">[3]Summary!#REF!</definedName>
    <definedName name="D">[3]Summary!#REF!</definedName>
    <definedName name="_xlnm.Database" localSheetId="0">#REF!</definedName>
    <definedName name="_xlnm.Database">#REF!</definedName>
    <definedName name="dooropeningdiameter">'[4]03'!$E$991:$E$1019</definedName>
    <definedName name="dooropeningweight">'[4]03'!$P$991:$P$1019</definedName>
    <definedName name="E">#REF!</definedName>
    <definedName name="Excel_BuiltIn_Print_Area_2" localSheetId="0">#REF!</definedName>
    <definedName name="Excel_BuiltIn_Print_Area_2">#REF!</definedName>
    <definedName name="Excel_BuiltIn_Print_Area_2_1" localSheetId="0">#REF!</definedName>
    <definedName name="Excel_BuiltIn_Print_Area_2_1">#REF!</definedName>
    <definedName name="Excel_BuiltIn_Print_Area_3" localSheetId="0">#REF!</definedName>
    <definedName name="Excel_BuiltIn_Print_Area_3">#REF!</definedName>
    <definedName name="Excel_BuiltIn_Print_Area_3_1" localSheetId="0">#REF!</definedName>
    <definedName name="Excel_BuiltIn_Print_Area_3_1">#REF!</definedName>
    <definedName name="f" localSheetId="0">#REF!</definedName>
    <definedName name="f">#REF!</definedName>
    <definedName name="G">#REF!</definedName>
    <definedName name="GEN">#REF!</definedName>
    <definedName name="h" localSheetId="0">#REF!</definedName>
    <definedName name="h">#REF!</definedName>
    <definedName name="HALLWAY">#REF!</definedName>
    <definedName name="HV">#REF!</definedName>
    <definedName name="IC">#REF!</definedName>
    <definedName name="it">#REF!</definedName>
    <definedName name="JPY">#REF!</definedName>
    <definedName name="l" localSheetId="0">#REF!</definedName>
    <definedName name="l">#REF!</definedName>
    <definedName name="LABCON">#REF!</definedName>
    <definedName name="LC">#REF!</definedName>
    <definedName name="LF">#REF!</definedName>
    <definedName name="Lighting_cost">[5]Sheet1!$E$1071:$Q$1132</definedName>
    <definedName name="LIT">#REF!</definedName>
    <definedName name="ll" localSheetId="0">#REF!</definedName>
    <definedName name="ll">#REF!</definedName>
    <definedName name="lll" localSheetId="0">#REF!</definedName>
    <definedName name="lll">#REF!</definedName>
    <definedName name="LOT">#REF!</definedName>
    <definedName name="m" localSheetId="0">#REF!</definedName>
    <definedName name="m">#REF!</definedName>
    <definedName name="manpower1" localSheetId="0">#REF!</definedName>
    <definedName name="manpower1">#REF!</definedName>
    <definedName name="mark">#REF!</definedName>
    <definedName name="MARKE">'[6]BOQ-M'!$N$3</definedName>
    <definedName name="MARKF">#REF!</definedName>
    <definedName name="MARKL">'[6]BOQ-M'!$N$5</definedName>
    <definedName name="MARKP">'[6]BOQ-M'!$N$7</definedName>
    <definedName name="MARKPG">#REF!</definedName>
    <definedName name="MARKQ">#REF!</definedName>
    <definedName name="MBIN">#REF!</definedName>
    <definedName name="MCOMMON">#REF!</definedName>
    <definedName name="MD">#REF!</definedName>
    <definedName name="misc">#REF!</definedName>
    <definedName name="mm">#REF!</definedName>
    <definedName name="MMAJOR">#REF!</definedName>
    <definedName name="mmmmm" localSheetId="0">#REF!</definedName>
    <definedName name="mmmmm">#REF!</definedName>
    <definedName name="mp">#REF!</definedName>
    <definedName name="MQTY">#REF!</definedName>
    <definedName name="mqtyopt">#REF!</definedName>
    <definedName name="mqtyopt1">#REF!</definedName>
    <definedName name="mqtyopt2">#REF!</definedName>
    <definedName name="mqtyopt3">#REF!</definedName>
    <definedName name="mrk">#REF!</definedName>
    <definedName name="MXFMR">#REF!</definedName>
    <definedName name="NetEstimatedCost">'[7]Bill summary of cost'!$L$29</definedName>
    <definedName name="noc">#REF!</definedName>
    <definedName name="OH">#REF!</definedName>
    <definedName name="OL">#REF!</definedName>
    <definedName name="openings">[2]openings!$C$2:$C$68</definedName>
    <definedName name="P">#REF!</definedName>
    <definedName name="PANEL">#REF!</definedName>
    <definedName name="Piped_systems">#REF!</definedName>
    <definedName name="pl" localSheetId="0">#REF!</definedName>
    <definedName name="pl">#REF!</definedName>
    <definedName name="pmark">#REF!</definedName>
    <definedName name="Prelims">[8]Sheet1!$E$1071:$Q$1132</definedName>
    <definedName name="_xlnm.Print_Area" localSheetId="0">'COVER LETTER'!$A$1:$G$44</definedName>
    <definedName name="_xlnm.Print_Area" localSheetId="1">'Table 1'!$A$1:$N$199</definedName>
    <definedName name="_xlnm.Print_Area">#REF!</definedName>
    <definedName name="Print_Area_1" localSheetId="0">#REF!</definedName>
    <definedName name="Print_Area_1">#REF!</definedName>
    <definedName name="Print_Area_2" localSheetId="0">#REF!</definedName>
    <definedName name="Print_Area_2">#REF!</definedName>
    <definedName name="Print_Area_MI" localSheetId="0">#REF!</definedName>
    <definedName name="Print_Area_MI">#REF!</definedName>
    <definedName name="_xlnm.Print_Titles" localSheetId="0">#REF!</definedName>
    <definedName name="_xlnm.Print_Titles" localSheetId="1">'Table 1'!$1:$9</definedName>
    <definedName name="_xlnm.Print_Titles">#REF!</definedName>
    <definedName name="PRINT_TITLES_MI" localSheetId="0">#REF!</definedName>
    <definedName name="PRINT_TITLES_MI">#REF!</definedName>
    <definedName name="q" localSheetId="0">#REF!</definedName>
    <definedName name="q">#REF!</definedName>
    <definedName name="qqq">#REF!</definedName>
    <definedName name="quant">#REF!</definedName>
    <definedName name="S" localSheetId="0">#REF!</definedName>
    <definedName name="S">#REF!</definedName>
    <definedName name="sanitary" localSheetId="0">#REF!</definedName>
    <definedName name="sanitary">#REF!</definedName>
    <definedName name="SEX">#REF!</definedName>
    <definedName name="Size">#REF!</definedName>
    <definedName name="Size_AHU_1">#REF!</definedName>
    <definedName name="size_AHU_2">#REF!</definedName>
    <definedName name="size_AHU_3">#REF!</definedName>
    <definedName name="size_AHU_4">#REF!</definedName>
    <definedName name="size_AHU_5">#REF!</definedName>
    <definedName name="size_AHU_6">#REF!</definedName>
    <definedName name="Sp">#REF!</definedName>
    <definedName name="SSS" localSheetId="0">#REF!</definedName>
    <definedName name="SSS">#REF!</definedName>
    <definedName name="SSSSSSSSSS" localSheetId="0">#REF!</definedName>
    <definedName name="SSSSSSSSSS">#REF!</definedName>
    <definedName name="SSSUM" localSheetId="0">#REF!</definedName>
    <definedName name="SSSUM">#REF!</definedName>
    <definedName name="STLUKES_TAB" localSheetId="0">#REF!</definedName>
    <definedName name="STLUKES_TAB">#REF!</definedName>
    <definedName name="Sub">#REF!</definedName>
    <definedName name="SUM" localSheetId="0">#REF!</definedName>
    <definedName name="SUM">#REF!</definedName>
    <definedName name="SUMMARY" localSheetId="0">#REF!</definedName>
    <definedName name="SUMMARY">#REF!</definedName>
    <definedName name="Temp">#REF!</definedName>
    <definedName name="TR">#REF!</definedName>
    <definedName name="Trade" localSheetId="0">'[9]Vari by Trade'!$A$9:$E$55</definedName>
    <definedName name="Trade">'[10]Vari by Trade'!$A$9:$E$55</definedName>
    <definedName name="USD" localSheetId="0">#REF!</definedName>
    <definedName name="USD">#REF!</definedName>
    <definedName name="VENDOR" localSheetId="0">'[11]Vari by Vendor'!$A$11:$G$15</definedName>
    <definedName name="VENDOR">'[12]Vari by Vendor'!$A$11:$G$15</definedName>
    <definedName name="W" localSheetId="0">#REF!</definedName>
    <definedName name="W">#REF!</definedName>
    <definedName name="WAS" localSheetId="0">#REF!</definedName>
    <definedName name="WAS">#REF!</definedName>
    <definedName name="WAWAWAW" localSheetId="0">#REF!</definedName>
    <definedName name="WAWAWAW">#REF!</definedName>
    <definedName name="win" localSheetId="0">#REF!</definedName>
    <definedName name="win">#REF!</definedName>
    <definedName name="windowopeningdiameter">'[4]03'!$E$1022:$E$1054</definedName>
    <definedName name="windowopeningweight">'[4]03'!$P$1022:$P$1054</definedName>
    <definedName name="wrn.ED." localSheetId="0" hidden="1">{#N/A,#N/A,TRUE,"Equipment installation bm"}</definedName>
    <definedName name="wrn.ED." hidden="1">{#N/A,#N/A,TRUE,"Equipment installation bm"}</definedName>
    <definedName name="WW" localSheetId="0">#REF!</definedName>
    <definedName name="WW">#REF!</definedName>
    <definedName name="WWW" localSheetId="0">#REF!</definedName>
    <definedName name="WWW">#REF!</definedName>
    <definedName name="WWWW" localSheetId="0">#REF!</definedName>
    <definedName name="WWWW">#REF!</definedName>
    <definedName name="WWWWWW" localSheetId="0">#REF!</definedName>
    <definedName name="WWWWWW">#REF!</definedName>
    <definedName name="WWWWWWWWW" localSheetId="0">#REF!</definedName>
    <definedName name="WWWWWWWWW">#REF!</definedName>
    <definedName name="XT">#REF!</definedName>
    <definedName name="YEN">#REF!</definedName>
    <definedName name="zgf" localSheetId="0">#REF!</definedName>
    <definedName name="zgf">#REF!</definedName>
    <definedName name="总价" localSheetId="0">[13]Sheet1!#REF!</definedName>
    <definedName name="总价">[13]Sheet1!#REF!</definedName>
  </definedNames>
  <calcPr calcId="181029"/>
</workbook>
</file>

<file path=xl/calcChain.xml><?xml version="1.0" encoding="utf-8"?>
<calcChain xmlns="http://schemas.openxmlformats.org/spreadsheetml/2006/main">
  <c r="I191" i="1" l="1"/>
  <c r="I190" i="1"/>
  <c r="L181" i="1"/>
  <c r="M181" i="1" s="1"/>
  <c r="J181" i="1"/>
  <c r="K181" i="1" s="1"/>
  <c r="L172" i="1"/>
  <c r="M172" i="1" s="1"/>
  <c r="J172" i="1"/>
  <c r="K172" i="1" s="1"/>
  <c r="H181" i="1"/>
  <c r="F181" i="1"/>
  <c r="H172" i="1"/>
  <c r="F172" i="1"/>
  <c r="L163" i="1"/>
  <c r="M163" i="1" s="1"/>
  <c r="J163" i="1"/>
  <c r="K163" i="1" s="1"/>
  <c r="H163" i="1"/>
  <c r="H154" i="1"/>
  <c r="F163" i="1"/>
  <c r="L154" i="1"/>
  <c r="M154" i="1" s="1"/>
  <c r="J154" i="1"/>
  <c r="K154" i="1" s="1"/>
  <c r="F154" i="1"/>
  <c r="L145" i="1"/>
  <c r="M145" i="1" s="1"/>
  <c r="J145" i="1"/>
  <c r="K145" i="1" s="1"/>
  <c r="H145" i="1"/>
  <c r="F145" i="1"/>
  <c r="L136" i="1"/>
  <c r="M136" i="1" s="1"/>
  <c r="J136" i="1"/>
  <c r="K136" i="1" s="1"/>
  <c r="H136" i="1"/>
  <c r="F136" i="1"/>
  <c r="L127" i="1"/>
  <c r="M127" i="1" s="1"/>
  <c r="J127" i="1"/>
  <c r="K127" i="1" s="1"/>
  <c r="L119" i="1"/>
  <c r="M119" i="1" s="1"/>
  <c r="J119" i="1"/>
  <c r="K119" i="1" s="1"/>
  <c r="H127" i="1"/>
  <c r="H119" i="1"/>
  <c r="F127" i="1"/>
  <c r="F119" i="1"/>
  <c r="L117" i="1"/>
  <c r="M117" i="1" s="1"/>
  <c r="J117" i="1"/>
  <c r="K117" i="1" s="1"/>
  <c r="L116" i="1"/>
  <c r="M116" i="1" s="1"/>
  <c r="J116" i="1"/>
  <c r="K116" i="1" s="1"/>
  <c r="L115" i="1"/>
  <c r="M115" i="1" s="1"/>
  <c r="J115" i="1"/>
  <c r="K115" i="1" s="1"/>
  <c r="L114" i="1"/>
  <c r="M114" i="1" s="1"/>
  <c r="J114" i="1"/>
  <c r="K114" i="1" s="1"/>
  <c r="L113" i="1"/>
  <c r="M113" i="1" s="1"/>
  <c r="J113" i="1"/>
  <c r="K113" i="1" s="1"/>
  <c r="L112" i="1"/>
  <c r="M112" i="1" s="1"/>
  <c r="J112" i="1"/>
  <c r="K112" i="1" s="1"/>
  <c r="L111" i="1"/>
  <c r="M111" i="1" s="1"/>
  <c r="J111" i="1"/>
  <c r="K111" i="1" s="1"/>
  <c r="L110" i="1"/>
  <c r="M110" i="1" s="1"/>
  <c r="J110" i="1"/>
  <c r="K110" i="1" s="1"/>
  <c r="L109" i="1"/>
  <c r="M109" i="1" s="1"/>
  <c r="J109" i="1"/>
  <c r="K109" i="1" s="1"/>
  <c r="L108" i="1"/>
  <c r="M108" i="1" s="1"/>
  <c r="J108" i="1"/>
  <c r="K108" i="1" s="1"/>
  <c r="L107" i="1"/>
  <c r="M107" i="1" s="1"/>
  <c r="J107" i="1"/>
  <c r="K107" i="1" s="1"/>
  <c r="L106" i="1"/>
  <c r="M106" i="1" s="1"/>
  <c r="J106" i="1"/>
  <c r="K106" i="1" s="1"/>
  <c r="L105" i="1"/>
  <c r="M105" i="1" s="1"/>
  <c r="J105" i="1"/>
  <c r="K105" i="1" s="1"/>
  <c r="L104" i="1"/>
  <c r="M104" i="1" s="1"/>
  <c r="J104" i="1"/>
  <c r="K104" i="1" s="1"/>
  <c r="L103" i="1"/>
  <c r="M103" i="1" s="1"/>
  <c r="J103" i="1"/>
  <c r="K103" i="1" s="1"/>
  <c r="L102" i="1"/>
  <c r="M102" i="1" s="1"/>
  <c r="J102" i="1"/>
  <c r="K102" i="1" s="1"/>
  <c r="L101" i="1"/>
  <c r="M101" i="1" s="1"/>
  <c r="J101" i="1"/>
  <c r="K101" i="1" s="1"/>
  <c r="L100" i="1"/>
  <c r="M100" i="1" s="1"/>
  <c r="J100" i="1"/>
  <c r="K100" i="1" s="1"/>
  <c r="L99" i="1"/>
  <c r="M99" i="1" s="1"/>
  <c r="J99" i="1"/>
  <c r="K99" i="1" s="1"/>
  <c r="L98" i="1"/>
  <c r="M98" i="1" s="1"/>
  <c r="J98" i="1"/>
  <c r="K98" i="1" s="1"/>
  <c r="L97" i="1"/>
  <c r="M97" i="1" s="1"/>
  <c r="J97" i="1"/>
  <c r="K97" i="1" s="1"/>
  <c r="L96" i="1"/>
  <c r="M96" i="1" s="1"/>
  <c r="J96" i="1"/>
  <c r="K96" i="1" s="1"/>
  <c r="L95" i="1"/>
  <c r="M95" i="1" s="1"/>
  <c r="J95" i="1"/>
  <c r="K95" i="1" s="1"/>
  <c r="L94" i="1"/>
  <c r="M94" i="1" s="1"/>
  <c r="J94" i="1"/>
  <c r="K94" i="1" s="1"/>
  <c r="L93" i="1"/>
  <c r="M93" i="1" s="1"/>
  <c r="J93" i="1"/>
  <c r="K93" i="1" s="1"/>
  <c r="L92" i="1"/>
  <c r="M92" i="1" s="1"/>
  <c r="J92" i="1"/>
  <c r="K92" i="1" s="1"/>
  <c r="L91" i="1"/>
  <c r="M91" i="1" s="1"/>
  <c r="J91" i="1"/>
  <c r="K91" i="1" s="1"/>
  <c r="L90" i="1"/>
  <c r="M90" i="1" s="1"/>
  <c r="J90" i="1"/>
  <c r="K90" i="1" s="1"/>
  <c r="L89" i="1"/>
  <c r="M89" i="1" s="1"/>
  <c r="J89" i="1"/>
  <c r="K89" i="1" s="1"/>
  <c r="L88" i="1"/>
  <c r="M88" i="1" s="1"/>
  <c r="J88" i="1"/>
  <c r="K88" i="1" s="1"/>
  <c r="L87" i="1"/>
  <c r="M87" i="1" s="1"/>
  <c r="J87" i="1"/>
  <c r="K87" i="1" s="1"/>
  <c r="L86" i="1"/>
  <c r="M86" i="1" s="1"/>
  <c r="J86" i="1"/>
  <c r="K86" i="1" s="1"/>
  <c r="L85" i="1"/>
  <c r="M85" i="1" s="1"/>
  <c r="J85" i="1"/>
  <c r="K85" i="1" s="1"/>
  <c r="L84" i="1"/>
  <c r="M84" i="1" s="1"/>
  <c r="J84" i="1"/>
  <c r="K84" i="1" s="1"/>
  <c r="L83" i="1"/>
  <c r="M83" i="1" s="1"/>
  <c r="J83" i="1"/>
  <c r="K83" i="1" s="1"/>
  <c r="L82" i="1"/>
  <c r="M82" i="1" s="1"/>
  <c r="J82" i="1"/>
  <c r="K82" i="1" s="1"/>
  <c r="L81" i="1"/>
  <c r="M81" i="1" s="1"/>
  <c r="J81" i="1"/>
  <c r="K81" i="1" s="1"/>
  <c r="L80" i="1"/>
  <c r="M80" i="1" s="1"/>
  <c r="J80" i="1"/>
  <c r="K80" i="1" s="1"/>
  <c r="L79" i="1"/>
  <c r="M79" i="1" s="1"/>
  <c r="J79" i="1"/>
  <c r="K79" i="1" s="1"/>
  <c r="L78" i="1"/>
  <c r="M78" i="1" s="1"/>
  <c r="J78" i="1"/>
  <c r="K78" i="1" s="1"/>
  <c r="L77" i="1"/>
  <c r="M77" i="1" s="1"/>
  <c r="J77" i="1"/>
  <c r="K77" i="1" s="1"/>
  <c r="L76" i="1"/>
  <c r="M76" i="1" s="1"/>
  <c r="J76" i="1"/>
  <c r="K76" i="1" s="1"/>
  <c r="L75" i="1"/>
  <c r="M75" i="1" s="1"/>
  <c r="J75" i="1"/>
  <c r="K75" i="1" s="1"/>
  <c r="L74" i="1"/>
  <c r="M74" i="1" s="1"/>
  <c r="J74" i="1"/>
  <c r="K74" i="1" s="1"/>
  <c r="L73" i="1"/>
  <c r="M73" i="1" s="1"/>
  <c r="J73" i="1"/>
  <c r="K73" i="1" s="1"/>
  <c r="L72" i="1"/>
  <c r="M72" i="1" s="1"/>
  <c r="J72" i="1"/>
  <c r="K72" i="1" s="1"/>
  <c r="L71" i="1"/>
  <c r="M71" i="1" s="1"/>
  <c r="J71" i="1"/>
  <c r="K71" i="1" s="1"/>
  <c r="L70" i="1"/>
  <c r="M70" i="1" s="1"/>
  <c r="J70" i="1"/>
  <c r="K70" i="1" s="1"/>
  <c r="L69" i="1"/>
  <c r="M69" i="1" s="1"/>
  <c r="J69" i="1"/>
  <c r="K69" i="1" s="1"/>
  <c r="L68" i="1"/>
  <c r="M68" i="1" s="1"/>
  <c r="J68" i="1"/>
  <c r="K68" i="1" s="1"/>
  <c r="L67" i="1"/>
  <c r="M67" i="1" s="1"/>
  <c r="J67" i="1"/>
  <c r="K67" i="1" s="1"/>
  <c r="L66" i="1"/>
  <c r="M66" i="1" s="1"/>
  <c r="J66" i="1"/>
  <c r="K66" i="1" s="1"/>
  <c r="L65" i="1"/>
  <c r="M65" i="1" s="1"/>
  <c r="J65" i="1"/>
  <c r="K65" i="1" s="1"/>
  <c r="L64" i="1"/>
  <c r="M64" i="1" s="1"/>
  <c r="J64" i="1"/>
  <c r="K64" i="1" s="1"/>
  <c r="L63" i="1"/>
  <c r="M63" i="1" s="1"/>
  <c r="J63" i="1"/>
  <c r="K63" i="1" s="1"/>
  <c r="L62" i="1"/>
  <c r="M62" i="1" s="1"/>
  <c r="J62" i="1"/>
  <c r="K62" i="1" s="1"/>
  <c r="L61" i="1"/>
  <c r="M61" i="1" s="1"/>
  <c r="J61" i="1"/>
  <c r="K61" i="1" s="1"/>
  <c r="L60" i="1"/>
  <c r="M60" i="1" s="1"/>
  <c r="J60" i="1"/>
  <c r="K60" i="1" s="1"/>
  <c r="L59" i="1"/>
  <c r="M59" i="1" s="1"/>
  <c r="J59" i="1"/>
  <c r="K59" i="1" s="1"/>
  <c r="L58" i="1"/>
  <c r="M58" i="1" s="1"/>
  <c r="J58" i="1"/>
  <c r="K58" i="1" s="1"/>
  <c r="L57" i="1"/>
  <c r="M57" i="1" s="1"/>
  <c r="J57" i="1"/>
  <c r="K57" i="1" s="1"/>
  <c r="L56" i="1"/>
  <c r="M56" i="1" s="1"/>
  <c r="J56" i="1"/>
  <c r="K56" i="1" s="1"/>
  <c r="L55" i="1"/>
  <c r="M55" i="1" s="1"/>
  <c r="J55" i="1"/>
  <c r="K55" i="1" s="1"/>
  <c r="L54" i="1"/>
  <c r="M54" i="1" s="1"/>
  <c r="J54" i="1"/>
  <c r="K54" i="1" s="1"/>
  <c r="L53" i="1"/>
  <c r="M53" i="1" s="1"/>
  <c r="J53" i="1"/>
  <c r="K53" i="1" s="1"/>
  <c r="L52" i="1"/>
  <c r="M52" i="1" s="1"/>
  <c r="J52" i="1"/>
  <c r="K52" i="1" s="1"/>
  <c r="L51" i="1"/>
  <c r="M51" i="1" s="1"/>
  <c r="J51" i="1"/>
  <c r="K51" i="1" s="1"/>
  <c r="L50" i="1"/>
  <c r="M50" i="1" s="1"/>
  <c r="J50" i="1"/>
  <c r="K50" i="1" s="1"/>
  <c r="L49" i="1"/>
  <c r="M49" i="1" s="1"/>
  <c r="J49" i="1"/>
  <c r="K49" i="1" s="1"/>
  <c r="L48" i="1"/>
  <c r="M48" i="1" s="1"/>
  <c r="J48" i="1"/>
  <c r="K48" i="1" s="1"/>
  <c r="L47" i="1"/>
  <c r="M47" i="1" s="1"/>
  <c r="J47" i="1"/>
  <c r="K47" i="1" s="1"/>
  <c r="L46" i="1"/>
  <c r="M46" i="1" s="1"/>
  <c r="J46" i="1"/>
  <c r="K46" i="1" s="1"/>
  <c r="L45" i="1"/>
  <c r="M45" i="1" s="1"/>
  <c r="J45" i="1"/>
  <c r="K45" i="1" s="1"/>
  <c r="L44" i="1"/>
  <c r="M44" i="1" s="1"/>
  <c r="J44" i="1"/>
  <c r="K44" i="1" s="1"/>
  <c r="L43" i="1"/>
  <c r="M43" i="1" s="1"/>
  <c r="J43" i="1"/>
  <c r="K43" i="1" s="1"/>
  <c r="L42" i="1"/>
  <c r="M42" i="1" s="1"/>
  <c r="J42" i="1"/>
  <c r="K42" i="1" s="1"/>
  <c r="L41" i="1"/>
  <c r="M41" i="1" s="1"/>
  <c r="J41" i="1"/>
  <c r="K41" i="1" s="1"/>
  <c r="L40" i="1"/>
  <c r="M40" i="1" s="1"/>
  <c r="J40" i="1"/>
  <c r="K40" i="1" s="1"/>
  <c r="L39" i="1"/>
  <c r="M39" i="1" s="1"/>
  <c r="J39" i="1"/>
  <c r="K39" i="1" s="1"/>
  <c r="L38" i="1"/>
  <c r="M38" i="1" s="1"/>
  <c r="J38" i="1"/>
  <c r="K38" i="1" s="1"/>
  <c r="L37" i="1"/>
  <c r="M37" i="1" s="1"/>
  <c r="J37" i="1"/>
  <c r="K37" i="1" s="1"/>
  <c r="L36" i="1"/>
  <c r="M36" i="1" s="1"/>
  <c r="J36" i="1"/>
  <c r="K36" i="1" s="1"/>
  <c r="L35" i="1"/>
  <c r="M35" i="1" s="1"/>
  <c r="J35" i="1"/>
  <c r="K35" i="1" s="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F117" i="1"/>
  <c r="F116" i="1"/>
  <c r="F115" i="1"/>
  <c r="F114" i="1"/>
  <c r="F113" i="1"/>
  <c r="F112" i="1"/>
  <c r="I112" i="1" s="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H35" i="1"/>
  <c r="F35" i="1"/>
  <c r="I154" i="1" l="1"/>
  <c r="N92" i="1"/>
  <c r="N95" i="1"/>
  <c r="N98" i="1"/>
  <c r="I181" i="1"/>
  <c r="I127" i="1"/>
  <c r="I145" i="1"/>
  <c r="I172" i="1"/>
  <c r="N181" i="1"/>
  <c r="N172" i="1"/>
  <c r="I119" i="1"/>
  <c r="I136" i="1"/>
  <c r="I163" i="1"/>
  <c r="I49" i="1"/>
  <c r="I55" i="1"/>
  <c r="I67" i="1"/>
  <c r="I85" i="1"/>
  <c r="I91" i="1"/>
  <c r="I103" i="1"/>
  <c r="I109" i="1"/>
  <c r="N127" i="1"/>
  <c r="N119" i="1"/>
  <c r="I39" i="1"/>
  <c r="I64" i="1"/>
  <c r="N163" i="1"/>
  <c r="N154" i="1"/>
  <c r="N145" i="1"/>
  <c r="N136" i="1"/>
  <c r="I40" i="1"/>
  <c r="I58" i="1"/>
  <c r="I37" i="1"/>
  <c r="I115" i="1"/>
  <c r="I70" i="1"/>
  <c r="I82" i="1"/>
  <c r="I100" i="1"/>
  <c r="N57" i="1"/>
  <c r="N60" i="1"/>
  <c r="I76" i="1"/>
  <c r="I94" i="1"/>
  <c r="I75" i="1"/>
  <c r="I97" i="1"/>
  <c r="N107" i="1"/>
  <c r="N66" i="1"/>
  <c r="I43" i="1"/>
  <c r="I88" i="1"/>
  <c r="I93" i="1"/>
  <c r="I61" i="1"/>
  <c r="N78" i="1"/>
  <c r="I73" i="1"/>
  <c r="N56" i="1"/>
  <c r="N62" i="1"/>
  <c r="I46" i="1"/>
  <c r="N71" i="1"/>
  <c r="N79" i="1"/>
  <c r="N87" i="1"/>
  <c r="I35" i="1"/>
  <c r="I47" i="1"/>
  <c r="I69" i="1"/>
  <c r="I74" i="1"/>
  <c r="I101" i="1"/>
  <c r="I38" i="1"/>
  <c r="I65" i="1"/>
  <c r="I87" i="1"/>
  <c r="I92" i="1"/>
  <c r="N35" i="1"/>
  <c r="N48" i="1"/>
  <c r="N73" i="1"/>
  <c r="I51" i="1"/>
  <c r="I56" i="1"/>
  <c r="I83" i="1"/>
  <c r="I105" i="1"/>
  <c r="I110" i="1"/>
  <c r="N77" i="1"/>
  <c r="N103" i="1"/>
  <c r="I52" i="1"/>
  <c r="I57" i="1"/>
  <c r="I79" i="1"/>
  <c r="I106" i="1"/>
  <c r="I111" i="1"/>
  <c r="N61" i="1"/>
  <c r="N80" i="1"/>
  <c r="N85" i="1"/>
  <c r="N93" i="1"/>
  <c r="N99" i="1"/>
  <c r="N97" i="1"/>
  <c r="N52" i="1"/>
  <c r="N41" i="1"/>
  <c r="N83" i="1"/>
  <c r="I41" i="1"/>
  <c r="I50" i="1"/>
  <c r="I59" i="1"/>
  <c r="I68" i="1"/>
  <c r="I77" i="1"/>
  <c r="I86" i="1"/>
  <c r="I95" i="1"/>
  <c r="I104" i="1"/>
  <c r="I113" i="1"/>
  <c r="N43" i="1"/>
  <c r="N47" i="1"/>
  <c r="N82" i="1"/>
  <c r="I42" i="1"/>
  <c r="I96" i="1"/>
  <c r="N64" i="1"/>
  <c r="N115" i="1"/>
  <c r="I78" i="1"/>
  <c r="N112" i="1"/>
  <c r="N69" i="1"/>
  <c r="N88" i="1"/>
  <c r="I66" i="1"/>
  <c r="I114" i="1"/>
  <c r="N39" i="1"/>
  <c r="N50" i="1"/>
  <c r="N101" i="1"/>
  <c r="N110" i="1"/>
  <c r="I48" i="1"/>
  <c r="I84" i="1"/>
  <c r="I102" i="1"/>
  <c r="I44" i="1"/>
  <c r="I53" i="1"/>
  <c r="I62" i="1"/>
  <c r="I71" i="1"/>
  <c r="I80" i="1"/>
  <c r="I89" i="1"/>
  <c r="I98" i="1"/>
  <c r="I107" i="1"/>
  <c r="I116" i="1"/>
  <c r="N49" i="1"/>
  <c r="N53" i="1"/>
  <c r="N58" i="1"/>
  <c r="I60" i="1"/>
  <c r="N37" i="1"/>
  <c r="N105" i="1"/>
  <c r="N46" i="1"/>
  <c r="N76" i="1"/>
  <c r="I36" i="1"/>
  <c r="I45" i="1"/>
  <c r="I54" i="1"/>
  <c r="I63" i="1"/>
  <c r="I72" i="1"/>
  <c r="I81" i="1"/>
  <c r="I90" i="1"/>
  <c r="I99" i="1"/>
  <c r="I108" i="1"/>
  <c r="I117" i="1"/>
  <c r="N40" i="1"/>
  <c r="N70" i="1"/>
  <c r="N72" i="1"/>
  <c r="N94" i="1"/>
  <c r="N100" i="1"/>
  <c r="N106" i="1"/>
  <c r="N42" i="1"/>
  <c r="N36" i="1"/>
  <c r="N54" i="1"/>
  <c r="N90" i="1"/>
  <c r="N67" i="1"/>
  <c r="N55" i="1"/>
  <c r="N65" i="1"/>
  <c r="N81" i="1"/>
  <c r="N86" i="1"/>
  <c r="N91" i="1"/>
  <c r="N113" i="1"/>
  <c r="N44" i="1"/>
  <c r="N51" i="1"/>
  <c r="N63" i="1"/>
  <c r="N74" i="1"/>
  <c r="N89" i="1"/>
  <c r="N96" i="1"/>
  <c r="N108" i="1"/>
  <c r="N111" i="1"/>
  <c r="N116" i="1"/>
  <c r="N84" i="1"/>
  <c r="N102" i="1"/>
  <c r="N38" i="1"/>
  <c r="N45" i="1"/>
  <c r="N59" i="1"/>
  <c r="N68" i="1"/>
  <c r="N75" i="1"/>
  <c r="N104" i="1"/>
  <c r="N109" i="1"/>
  <c r="N114" i="1"/>
  <c r="N117" i="1"/>
  <c r="N190" i="1" l="1"/>
  <c r="I118" i="1"/>
  <c r="N118" i="1"/>
  <c r="N191" i="1" l="1"/>
  <c r="N192" i="1" s="1"/>
  <c r="N193" i="1" s="1"/>
  <c r="C9" i="3"/>
  <c r="C12" i="3"/>
  <c r="L31" i="1"/>
  <c r="M31" i="1" s="1"/>
  <c r="N31" i="1" s="1"/>
  <c r="L30" i="1"/>
  <c r="M30" i="1" s="1"/>
  <c r="N30" i="1" s="1"/>
  <c r="L29" i="1"/>
  <c r="M29" i="1" s="1"/>
  <c r="N29" i="1" s="1"/>
  <c r="L27" i="1"/>
  <c r="M27" i="1" s="1"/>
  <c r="N27" i="1" s="1"/>
  <c r="L26" i="1"/>
  <c r="M26" i="1" s="1"/>
  <c r="N26" i="1" s="1"/>
  <c r="L25" i="1"/>
  <c r="M25" i="1" s="1"/>
  <c r="N25" i="1" s="1"/>
  <c r="L24" i="1"/>
  <c r="M24" i="1" s="1"/>
  <c r="N24" i="1" s="1"/>
  <c r="L23" i="1"/>
  <c r="M23" i="1" s="1"/>
  <c r="N23" i="1" s="1"/>
  <c r="L22" i="1"/>
  <c r="M22" i="1" s="1"/>
  <c r="N22" i="1" s="1"/>
  <c r="L21" i="1"/>
  <c r="M21" i="1" s="1"/>
  <c r="N21" i="1" s="1"/>
  <c r="L20" i="1"/>
  <c r="M20" i="1" s="1"/>
  <c r="N20" i="1" s="1"/>
  <c r="L19" i="1"/>
  <c r="M19" i="1" s="1"/>
  <c r="N19" i="1" s="1"/>
  <c r="L18" i="1"/>
  <c r="M18" i="1" s="1"/>
  <c r="N18" i="1" s="1"/>
  <c r="L17" i="1"/>
  <c r="M17" i="1" s="1"/>
  <c r="N17" i="1" s="1"/>
  <c r="L15" i="1"/>
  <c r="M15" i="1" s="1"/>
  <c r="N15" i="1" s="1"/>
  <c r="L14" i="1"/>
  <c r="M14" i="1" s="1"/>
  <c r="N14" i="1" s="1"/>
  <c r="L13" i="1"/>
  <c r="M13" i="1" s="1"/>
  <c r="N13" i="1" s="1"/>
  <c r="L11" i="1"/>
  <c r="M11" i="1" l="1"/>
  <c r="N11" i="1" s="1"/>
  <c r="N32" i="1" s="1"/>
  <c r="H31" i="1"/>
  <c r="I31" i="1" s="1"/>
  <c r="H30" i="1"/>
  <c r="I30" i="1" s="1"/>
  <c r="H29" i="1"/>
  <c r="I29" i="1" s="1"/>
  <c r="H27" i="1"/>
  <c r="I27" i="1" s="1"/>
  <c r="H26" i="1"/>
  <c r="I26" i="1" s="1"/>
  <c r="H25" i="1"/>
  <c r="I25" i="1" s="1"/>
  <c r="H24" i="1"/>
  <c r="I24" i="1" s="1"/>
  <c r="H23" i="1"/>
  <c r="I23" i="1" s="1"/>
  <c r="H22" i="1"/>
  <c r="I22" i="1" s="1"/>
  <c r="H21" i="1"/>
  <c r="I21" i="1" s="1"/>
  <c r="H20" i="1"/>
  <c r="I20" i="1" s="1"/>
  <c r="H19" i="1"/>
  <c r="I19" i="1" s="1"/>
  <c r="H18" i="1"/>
  <c r="I18" i="1" s="1"/>
  <c r="H17" i="1"/>
  <c r="I17" i="1" s="1"/>
  <c r="H15" i="1"/>
  <c r="I15" i="1" s="1"/>
  <c r="H14" i="1"/>
  <c r="I14" i="1" s="1"/>
  <c r="H13" i="1"/>
  <c r="I13" i="1" s="1"/>
  <c r="H11" i="1"/>
  <c r="I11" i="1" s="1"/>
  <c r="C1" i="3"/>
  <c r="H108" i="3"/>
  <c r="F108" i="3"/>
  <c r="A5" i="3"/>
  <c r="I32" i="1" l="1"/>
  <c r="I192" i="1" l="1"/>
  <c r="I193" i="1" s="1"/>
  <c r="F19" i="3" l="1"/>
  <c r="G19" i="3" s="1"/>
  <c r="F20" i="3" s="1"/>
  <c r="I7" i="1"/>
</calcChain>
</file>

<file path=xl/sharedStrings.xml><?xml version="1.0" encoding="utf-8"?>
<sst xmlns="http://schemas.openxmlformats.org/spreadsheetml/2006/main" count="467" uniqueCount="175">
  <si>
    <t>Our Ref.</t>
  </si>
  <si>
    <t>Date</t>
  </si>
  <si>
    <t>Attention</t>
  </si>
  <si>
    <t>Gentlemen:</t>
  </si>
  <si>
    <t>In response to your inquiry, we are pleased to quote you the following items:</t>
  </si>
  <si>
    <t>ITEM</t>
  </si>
  <si>
    <t>DESCRIPTION</t>
  </si>
  <si>
    <t>QTY</t>
  </si>
  <si>
    <t>UNIT</t>
  </si>
  <si>
    <t>UNIT COST</t>
  </si>
  <si>
    <t>TOTAL</t>
  </si>
  <si>
    <t>AMOUNT</t>
  </si>
  <si>
    <t xml:space="preserve">Supply of quality labor, materials, tools and equipment for the above mentioned subject with itemized price breakdown indicated in the attachment.                                                                                         </t>
  </si>
  <si>
    <t>lot</t>
  </si>
  <si>
    <t>Total Project Amount (VAT Included)</t>
  </si>
  <si>
    <t>TERMS AND CONDITIONS:</t>
  </si>
  <si>
    <t>Completion</t>
  </si>
  <si>
    <t>Payment</t>
  </si>
  <si>
    <t>Validity</t>
  </si>
  <si>
    <t xml:space="preserve">: Eyelectric, Incorporated reserves the right to modify the price in case of materials and logistics </t>
  </si>
  <si>
    <t>EXCLUSIONS:</t>
  </si>
  <si>
    <t>1.) All other scope not specifically mentioned in this proposal.</t>
  </si>
  <si>
    <t>2.) The owner shall provide ample space for the contractor for storage of materials.</t>
  </si>
  <si>
    <t>3.) If so required, COVID19 related testing, vaccine &amp; treatment are excluded. Though rapid test included.</t>
  </si>
  <si>
    <t>Thank you very much for giving EYELECTRIC, INCORPORATED the opportunity to quote on this requirements.  We hope everything is in order.  We will keep in touch as to the development of your inquiries.</t>
  </si>
  <si>
    <t>Very truly yours,</t>
  </si>
  <si>
    <t>EYELECTRIC, INC.</t>
  </si>
  <si>
    <t>Noted by:</t>
  </si>
  <si>
    <t>Rey R. Araos</t>
  </si>
  <si>
    <t>President</t>
  </si>
  <si>
    <t>Project:</t>
  </si>
  <si>
    <t>Location:</t>
  </si>
  <si>
    <t>QTE Ref</t>
  </si>
  <si>
    <t>Item</t>
  </si>
  <si>
    <t>Description</t>
  </si>
  <si>
    <t>Qty</t>
  </si>
  <si>
    <t>Unit</t>
  </si>
  <si>
    <t>Unit Cost (Php)</t>
  </si>
  <si>
    <t>Total Amount (Php)</t>
  </si>
  <si>
    <t>Material</t>
  </si>
  <si>
    <t>Total</t>
  </si>
  <si>
    <t>Labor</t>
  </si>
  <si>
    <t xml:space="preserve">Sub Total: </t>
  </si>
  <si>
    <t xml:space="preserve">TOTAL AMOUNT </t>
  </si>
  <si>
    <t xml:space="preserve">12% VAT : </t>
  </si>
  <si>
    <t xml:space="preserve">Prepared By: </t>
  </si>
  <si>
    <t xml:space="preserve">Noted By: </t>
  </si>
  <si>
    <t xml:space="preserve">Rey R. Araos </t>
  </si>
  <si>
    <t xml:space="preserve">President </t>
  </si>
  <si>
    <t>TOTAL PROJECT COST(VAT INCLUDED) :</t>
  </si>
  <si>
    <t>Mobilization and Demobilization</t>
  </si>
  <si>
    <t>Temporary Facilities &amp; Utilities Connection</t>
  </si>
  <si>
    <t>Temporary Power Supply</t>
  </si>
  <si>
    <t>Temporary Water Supply</t>
  </si>
  <si>
    <t>Temporary Facility (if required)</t>
  </si>
  <si>
    <t>PPE and other Safety &amp; Security Requirements</t>
  </si>
  <si>
    <t>Safety Officer</t>
  </si>
  <si>
    <t>Warning and Hazzard Signs, Tarpaulins, etc.</t>
  </si>
  <si>
    <t>PPE</t>
  </si>
  <si>
    <t>Cleaning and Housekeeping</t>
  </si>
  <si>
    <t>Site Supervisory and Administrative Staff</t>
  </si>
  <si>
    <t>Bonds and Insurances</t>
  </si>
  <si>
    <t>Contractor's All Risk Insurance</t>
  </si>
  <si>
    <t>Surety Bond</t>
  </si>
  <si>
    <t>Performance Bond</t>
  </si>
  <si>
    <t>Warranty Bond</t>
  </si>
  <si>
    <t>Field and Operations General Expenses incl Equipment Cost</t>
  </si>
  <si>
    <t>Hauling and Disposal</t>
  </si>
  <si>
    <t>Hauling and Disposal of dismantled items, unnecessary materials and other construction generated wastes</t>
  </si>
  <si>
    <t>Scaffolding Works</t>
  </si>
  <si>
    <t>QA and QC Documentation and As-Built Drawing Submittals</t>
  </si>
  <si>
    <t>I.</t>
  </si>
  <si>
    <t xml:space="preserve"> General Requirements </t>
  </si>
  <si>
    <t>CDO Malvar,Batangas</t>
  </si>
  <si>
    <t xml:space="preserve">COST </t>
  </si>
  <si>
    <t>Date:</t>
  </si>
  <si>
    <t>E24PV+M3G, Bulihan, Malvar, Batangas</t>
  </si>
  <si>
    <t xml:space="preserve">Attention: </t>
  </si>
  <si>
    <t xml:space="preserve">Subject: </t>
  </si>
  <si>
    <t>: Thirty Percent (30%) Down Payment, Sixty Percent (60%) Progress Billing and Ten Percent (10%) Retention</t>
  </si>
  <si>
    <t xml:space="preserve">  changes in the market due to extraneous and supervening events</t>
  </si>
  <si>
    <t>4.) Permitting are not included in this proposal.</t>
  </si>
  <si>
    <t>Greenboard Drywall 6"</t>
  </si>
  <si>
    <t>II.</t>
  </si>
  <si>
    <t xml:space="preserve">Andrea O. Gervacio </t>
  </si>
  <si>
    <t>Client Relation Officer</t>
  </si>
  <si>
    <t>: Seven Calendar (7) Days</t>
  </si>
  <si>
    <t>: To be agreed upon.</t>
  </si>
  <si>
    <t>a.</t>
  </si>
  <si>
    <t>g.</t>
  </si>
  <si>
    <t>p.</t>
  </si>
  <si>
    <t>n.</t>
  </si>
  <si>
    <t>b.</t>
  </si>
  <si>
    <t>c.</t>
  </si>
  <si>
    <t>d.</t>
  </si>
  <si>
    <t>e.</t>
  </si>
  <si>
    <t>f.</t>
  </si>
  <si>
    <t>h.</t>
  </si>
  <si>
    <t>i.</t>
  </si>
  <si>
    <t>j.</t>
  </si>
  <si>
    <t>k.</t>
  </si>
  <si>
    <t>l.</t>
  </si>
  <si>
    <t>m.</t>
  </si>
  <si>
    <t>o.</t>
  </si>
  <si>
    <t>q.</t>
  </si>
  <si>
    <t>SCOPE OF WORKS</t>
  </si>
  <si>
    <t xml:space="preserve">Electrical Works </t>
  </si>
  <si>
    <t>September 23,2026</t>
  </si>
  <si>
    <t xml:space="preserve">GP Marine-Aumpack Automation </t>
  </si>
  <si>
    <t>QTE-26-212-EM</t>
  </si>
  <si>
    <t xml:space="preserve">Mr. Jeffrey Canamague Jr.  </t>
  </si>
  <si>
    <t>Sr. Category Buyer | Corporate Purchasing</t>
  </si>
  <si>
    <t>Enclosed Circuit Breaker 32AT,3P</t>
  </si>
  <si>
    <t>set</t>
  </si>
  <si>
    <t>THHN Wire 8.0mm</t>
  </si>
  <si>
    <t>meters</t>
  </si>
  <si>
    <t>THHN Wire 5.5mm Ground</t>
  </si>
  <si>
    <t>THHN Wire 2.0mm for DC Supply</t>
  </si>
  <si>
    <t>box</t>
  </si>
  <si>
    <t>IMC Pipe 25mm</t>
  </si>
  <si>
    <t>pcs</t>
  </si>
  <si>
    <t>IMC Pipe 15mm</t>
  </si>
  <si>
    <t>Liquidtight Conduit 25mm</t>
  </si>
  <si>
    <t>Liquidtight Straight Connector 25mm</t>
  </si>
  <si>
    <t>Crimping Lugs 8.0mm</t>
  </si>
  <si>
    <t>Crimping Lugs 5.5mm</t>
  </si>
  <si>
    <t>Hanger and Support</t>
  </si>
  <si>
    <t>Labeler</t>
  </si>
  <si>
    <t>Enclosed Circuit Breaker 16AT,3P</t>
  </si>
  <si>
    <t>THHN Wire 3.5mm</t>
  </si>
  <si>
    <t>THHN Wire 2.0mm Ground</t>
  </si>
  <si>
    <t>Liquidtight Conduit 15mm</t>
  </si>
  <si>
    <t>Liquidtight Straight Connector 15mm</t>
  </si>
  <si>
    <t xml:space="preserve"> Case Packer</t>
  </si>
  <si>
    <t>Enclosed Circuit Breaker 63AT,3P</t>
  </si>
  <si>
    <t>THHN Wire14 mm</t>
  </si>
  <si>
    <t>Crimping Lugs 14mm</t>
  </si>
  <si>
    <t>Case Erector</t>
  </si>
  <si>
    <t>pm</t>
  </si>
  <si>
    <t>Case Sealer</t>
  </si>
  <si>
    <t>Case Checkweigher</t>
  </si>
  <si>
    <t>Palletizer Robot</t>
  </si>
  <si>
    <t>Modular Conveyors</t>
  </si>
  <si>
    <t>THHN Wire 14mm</t>
  </si>
  <si>
    <t>b,</t>
  </si>
  <si>
    <t>k,</t>
  </si>
  <si>
    <t xml:space="preserve">Subtotal Electrical Works: </t>
  </si>
  <si>
    <t>Provision of Compressed Air Supply (Droppings)</t>
  </si>
  <si>
    <t>1/2 G.I pipe schedule 40</t>
  </si>
  <si>
    <t>ball valve 1/2 inch diameter</t>
  </si>
  <si>
    <t>pressure gauge</t>
  </si>
  <si>
    <t>Banding/labelling</t>
  </si>
  <si>
    <t>miscellanious and consumables</t>
  </si>
  <si>
    <t>Fittings G.I</t>
  </si>
  <si>
    <t xml:space="preserve">set </t>
  </si>
  <si>
    <r>
      <rPr>
        <sz val="10"/>
        <rFont val="Arial MT"/>
        <family val="2"/>
      </rPr>
      <t>Provision of Compressed Air Supply (Droppings)</t>
    </r>
  </si>
  <si>
    <r>
      <rPr>
        <sz val="10"/>
        <rFont val="Arial MT"/>
        <family val="2"/>
      </rPr>
      <t>1/2 G.I pipe schedule 40</t>
    </r>
  </si>
  <si>
    <r>
      <rPr>
        <sz val="10"/>
        <rFont val="Arial MT"/>
        <family val="2"/>
      </rPr>
      <t>ball valve 1/2 inch diameter</t>
    </r>
  </si>
  <si>
    <r>
      <rPr>
        <sz val="10"/>
        <rFont val="Arial MT"/>
        <family val="2"/>
      </rPr>
      <t>pressure gauge</t>
    </r>
  </si>
  <si>
    <r>
      <rPr>
        <sz val="10"/>
        <rFont val="Arial MT"/>
        <family val="2"/>
      </rPr>
      <t>Banding/labelling</t>
    </r>
  </si>
  <si>
    <r>
      <rPr>
        <sz val="10"/>
        <rFont val="Arial MT"/>
        <family val="2"/>
      </rPr>
      <t>miscellanious and consumables</t>
    </r>
  </si>
  <si>
    <r>
      <rPr>
        <sz val="10"/>
        <rFont val="Arial MT"/>
        <family val="2"/>
      </rPr>
      <t>Hanger and Support</t>
    </r>
  </si>
  <si>
    <r>
      <rPr>
        <sz val="10"/>
        <rFont val="Arial MT"/>
        <family val="2"/>
      </rPr>
      <t>Fittings G.I</t>
    </r>
  </si>
  <si>
    <t>Case Packer</t>
  </si>
  <si>
    <r>
      <rPr>
        <sz val="9"/>
        <rFont val="Arial MT"/>
        <family val="2"/>
      </rPr>
      <t>Provision of Compressed Air Supply (Droppings)</t>
    </r>
  </si>
  <si>
    <r>
      <rPr>
        <sz val="9"/>
        <rFont val="Arial MT"/>
        <family val="2"/>
      </rPr>
      <t>1/2 G.I pipe schedule 40</t>
    </r>
  </si>
  <si>
    <r>
      <rPr>
        <sz val="9"/>
        <rFont val="Arial MT"/>
        <family val="2"/>
      </rPr>
      <t>ball valve 1/2 inch diameter</t>
    </r>
  </si>
  <si>
    <r>
      <rPr>
        <sz val="9"/>
        <rFont val="Arial MT"/>
        <family val="2"/>
      </rPr>
      <t>pressure gauge</t>
    </r>
  </si>
  <si>
    <r>
      <rPr>
        <sz val="9"/>
        <rFont val="Arial MT"/>
        <family val="2"/>
      </rPr>
      <t>Banding/labelling</t>
    </r>
  </si>
  <si>
    <r>
      <rPr>
        <sz val="9"/>
        <rFont val="Arial MT"/>
        <family val="2"/>
      </rPr>
      <t>miscellanious and consumables</t>
    </r>
  </si>
  <si>
    <r>
      <rPr>
        <sz val="9"/>
        <rFont val="Arial MT"/>
        <family val="2"/>
      </rPr>
      <t>Hanger and Support</t>
    </r>
  </si>
  <si>
    <r>
      <rPr>
        <sz val="9"/>
        <rFont val="Arial MT"/>
        <family val="2"/>
      </rPr>
      <t>Fittings G.I</t>
    </r>
  </si>
  <si>
    <t>Standard Conveyors</t>
  </si>
  <si>
    <t xml:space="preserve">Sub Total Mechanical Works: </t>
  </si>
  <si>
    <t xml:space="preserve">for: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</si>
</sst>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00_-;\-* #,##0.00_-;_-* &quot;-&quot;??_-;_-@_-"/>
    <numFmt numFmtId="165" formatCode="[$PHP]\ #,##0.00;[Red][$PHP]\ #,##0.00"/>
    <numFmt numFmtId="166" formatCode="[$PHP]\ #,##0.00_);\([$PHP]\ #,##0.00\)"/>
    <numFmt numFmtId="167" formatCode="0.0"/>
    <numFmt numFmtId="168" formatCode="mmmm\ dd\,\ yyyy"/>
    <numFmt numFmtId="169" formatCode="_(* #,##0_);_(* \(#,##0\);_(* &quot;-&quot;??_);_(@_)"/>
    <numFmt numFmtId="170" formatCode="_([$PHP]\ * #,##0.00_);_([$PHP]\ * \(#,##0.00\);_([$PHP]\ * &quot;-&quot;??_);_(@_)"/>
  </numFmts>
  <fonts count="32">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000000"/>
      <name val="Times New Roman"/>
      <family val="1"/>
    </font>
    <font>
      <sz val="10"/>
      <name val="Arial"/>
      <family val="2"/>
    </font>
    <font>
      <sz val="10"/>
      <color rgb="FF000000"/>
      <name val="Times New Roman"/>
      <family val="1"/>
    </font>
    <font>
      <b/>
      <sz val="9"/>
      <name val="Arial"/>
      <family val="2"/>
    </font>
    <font>
      <sz val="9"/>
      <color rgb="FF000000"/>
      <name val="Arial"/>
      <family val="2"/>
    </font>
    <font>
      <sz val="9"/>
      <name val="Arial"/>
      <family val="2"/>
    </font>
    <font>
      <b/>
      <sz val="9"/>
      <color theme="1"/>
      <name val="Arial"/>
      <family val="2"/>
    </font>
    <font>
      <b/>
      <sz val="10"/>
      <name val="Arial"/>
      <family val="2"/>
    </font>
    <font>
      <b/>
      <sz val="11"/>
      <color theme="1"/>
      <name val="Arial"/>
      <family val="2"/>
    </font>
    <font>
      <sz val="11"/>
      <color theme="1"/>
      <name val="Arial"/>
      <family val="2"/>
    </font>
    <font>
      <sz val="10"/>
      <color rgb="FF000000"/>
      <name val="Arial"/>
      <family val="2"/>
    </font>
    <font>
      <b/>
      <sz val="11"/>
      <color rgb="FF000000"/>
      <name val="Arial"/>
      <family val="2"/>
    </font>
    <font>
      <sz val="11"/>
      <color rgb="FF000000"/>
      <name val="Arial"/>
      <family val="2"/>
    </font>
    <font>
      <b/>
      <i/>
      <sz val="9"/>
      <name val="Arial"/>
      <family val="2"/>
    </font>
    <font>
      <b/>
      <sz val="10"/>
      <color rgb="FF000000"/>
      <name val="Arial"/>
      <family val="2"/>
    </font>
    <font>
      <b/>
      <sz val="11"/>
      <color indexed="8"/>
      <name val="Calibri"/>
      <family val="2"/>
    </font>
    <font>
      <b/>
      <sz val="9"/>
      <color rgb="FF000000"/>
      <name val="Arial"/>
      <family val="2"/>
    </font>
    <font>
      <b/>
      <sz val="10"/>
      <color rgb="FF000000"/>
      <name val="Times New Roman"/>
      <family val="1"/>
    </font>
    <font>
      <b/>
      <sz val="11"/>
      <name val="Arial"/>
      <family val="2"/>
    </font>
    <font>
      <sz val="10"/>
      <color theme="1"/>
      <name val="Arial"/>
      <family val="2"/>
    </font>
    <font>
      <b/>
      <sz val="10"/>
      <color theme="1"/>
      <name val="Arial"/>
      <family val="2"/>
    </font>
    <font>
      <sz val="9"/>
      <color theme="1"/>
      <name val="Arial"/>
      <family val="2"/>
    </font>
    <font>
      <sz val="9"/>
      <name val="Arial MT"/>
    </font>
    <font>
      <sz val="10"/>
      <name val="Arial MT"/>
    </font>
    <font>
      <sz val="11"/>
      <name val="Arial MT"/>
    </font>
    <font>
      <sz val="10"/>
      <name val="Arial MT"/>
      <family val="2"/>
    </font>
    <font>
      <sz val="9"/>
      <name val="Arial MT"/>
      <family val="2"/>
    </font>
  </fonts>
  <fills count="11">
    <fill>
      <patternFill patternType="none"/>
    </fill>
    <fill>
      <patternFill patternType="gray125"/>
    </fill>
    <fill>
      <patternFill patternType="solid">
        <fgColor indexed="22"/>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theme="6" tint="0.39997558519241921"/>
        <bgColor indexed="64"/>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auto="1"/>
      </right>
      <top style="thin">
        <color auto="1"/>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s>
  <cellStyleXfs count="26">
    <xf numFmtId="0" fontId="0" fillId="0" borderId="0"/>
    <xf numFmtId="43" fontId="5" fillId="0" borderId="0" applyFont="0" applyFill="0" applyBorder="0" applyAlignment="0" applyProtection="0"/>
    <xf numFmtId="0" fontId="6" fillId="0" borderId="0"/>
    <xf numFmtId="43" fontId="6" fillId="0" borderId="0" applyFont="0" applyFill="0" applyBorder="0" applyAlignment="0" applyProtection="0"/>
    <xf numFmtId="43" fontId="4" fillId="0" borderId="0" applyFont="0" applyFill="0" applyBorder="0" applyAlignment="0" applyProtection="0"/>
    <xf numFmtId="0" fontId="4" fillId="0" borderId="0"/>
    <xf numFmtId="43" fontId="6" fillId="0" borderId="0" applyFill="0" applyBorder="0" applyAlignment="0" applyProtection="0"/>
    <xf numFmtId="43" fontId="4" fillId="0" borderId="0" applyFont="0" applyFill="0" applyBorder="0" applyAlignment="0" applyProtection="0"/>
    <xf numFmtId="0" fontId="6" fillId="0" borderId="0"/>
    <xf numFmtId="9" fontId="7" fillId="0" borderId="0" applyFont="0" applyFill="0" applyBorder="0" applyAlignment="0" applyProtection="0"/>
    <xf numFmtId="0" fontId="5" fillId="0" borderId="0"/>
    <xf numFmtId="0" fontId="5" fillId="0" borderId="0"/>
    <xf numFmtId="43" fontId="3" fillId="0" borderId="0" applyFont="0" applyFill="0" applyBorder="0" applyAlignment="0" applyProtection="0"/>
    <xf numFmtId="0" fontId="3" fillId="0" borderId="0"/>
    <xf numFmtId="0" fontId="15" fillId="0" borderId="0" applyNumberFormat="0" applyBorder="0" applyProtection="0"/>
    <xf numFmtId="43" fontId="3" fillId="0" borderId="0" applyFont="0" applyFill="0" applyBorder="0" applyAlignment="0" applyProtection="0"/>
    <xf numFmtId="164" fontId="5" fillId="0" borderId="0" applyFont="0" applyFill="0" applyBorder="0" applyAlignment="0" applyProtection="0"/>
    <xf numFmtId="164" fontId="6" fillId="0" borderId="0" applyFont="0" applyFill="0" applyBorder="0" applyAlignment="0" applyProtection="0"/>
    <xf numFmtId="164" fontId="2" fillId="0" borderId="0" applyFont="0" applyFill="0" applyBorder="0" applyAlignment="0" applyProtection="0"/>
    <xf numFmtId="0" fontId="2" fillId="0" borderId="0"/>
    <xf numFmtId="164" fontId="6"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0" fontId="1" fillId="0" borderId="0"/>
  </cellStyleXfs>
  <cellXfs count="206">
    <xf numFmtId="0" fontId="0" fillId="0" borderId="0" xfId="0" applyAlignment="1">
      <alignment horizontal="left" vertical="top"/>
    </xf>
    <xf numFmtId="0" fontId="0" fillId="3" borderId="0" xfId="0" applyFill="1" applyAlignment="1">
      <alignment horizontal="left" vertical="top"/>
    </xf>
    <xf numFmtId="0" fontId="0" fillId="6" borderId="0" xfId="0" applyFill="1" applyAlignment="1">
      <alignment horizontal="left" vertical="top"/>
    </xf>
    <xf numFmtId="0" fontId="8" fillId="0" borderId="16" xfId="10" applyFont="1" applyBorder="1" applyAlignment="1">
      <alignment horizontal="left" vertical="center"/>
    </xf>
    <xf numFmtId="0" fontId="9" fillId="0" borderId="16" xfId="10" applyFont="1" applyBorder="1" applyAlignment="1">
      <alignment horizontal="center" vertical="center"/>
    </xf>
    <xf numFmtId="0" fontId="10" fillId="0" borderId="16" xfId="10" applyFont="1" applyBorder="1" applyAlignment="1">
      <alignment horizontal="left" vertical="center" indent="1"/>
    </xf>
    <xf numFmtId="0" fontId="10" fillId="0" borderId="16" xfId="11" applyFont="1" applyBorder="1" applyAlignment="1">
      <alignment horizontal="center" vertical="center" wrapText="1"/>
    </xf>
    <xf numFmtId="167" fontId="11" fillId="0" borderId="16" xfId="10" applyNumberFormat="1" applyFont="1" applyBorder="1" applyAlignment="1">
      <alignment vertical="center"/>
    </xf>
    <xf numFmtId="167" fontId="9" fillId="0" borderId="16" xfId="10" applyNumberFormat="1" applyFont="1" applyBorder="1" applyAlignment="1">
      <alignment horizontal="left" vertical="center" wrapText="1" indent="1"/>
    </xf>
    <xf numFmtId="0" fontId="8" fillId="0" borderId="0" xfId="8" applyFont="1" applyAlignment="1">
      <alignment horizontal="left" vertical="center" indent="1"/>
    </xf>
    <xf numFmtId="43" fontId="8" fillId="0" borderId="0" xfId="12" applyFont="1" applyAlignment="1">
      <alignment vertical="center"/>
    </xf>
    <xf numFmtId="0" fontId="10" fillId="0" borderId="0" xfId="2" applyFont="1" applyAlignment="1">
      <alignment vertical="center"/>
    </xf>
    <xf numFmtId="0" fontId="12" fillId="0" borderId="0" xfId="2" applyFont="1" applyAlignment="1">
      <alignment vertical="center"/>
    </xf>
    <xf numFmtId="43" fontId="8" fillId="0" borderId="0" xfId="3" applyFont="1" applyAlignment="1">
      <alignment vertical="center"/>
    </xf>
    <xf numFmtId="168" fontId="12" fillId="0" borderId="0" xfId="2" applyNumberFormat="1" applyFont="1" applyAlignment="1">
      <alignment horizontal="left" vertical="center"/>
    </xf>
    <xf numFmtId="43" fontId="10" fillId="0" borderId="0" xfId="12" applyFont="1" applyAlignment="1">
      <alignment vertical="center"/>
    </xf>
    <xf numFmtId="0" fontId="8" fillId="0" borderId="0" xfId="2" applyFont="1" applyAlignment="1">
      <alignment vertical="center"/>
    </xf>
    <xf numFmtId="0" fontId="13" fillId="0" borderId="0" xfId="13" applyFont="1"/>
    <xf numFmtId="0" fontId="14" fillId="0" borderId="0" xfId="13" applyFont="1" applyAlignment="1">
      <alignment vertical="center"/>
    </xf>
    <xf numFmtId="0" fontId="16" fillId="0" borderId="0" xfId="14" applyFont="1" applyAlignment="1" applyProtection="1">
      <alignment vertical="center"/>
    </xf>
    <xf numFmtId="0" fontId="17" fillId="0" borderId="0" xfId="14" applyFont="1" applyAlignment="1" applyProtection="1">
      <alignment vertical="center"/>
    </xf>
    <xf numFmtId="43" fontId="8" fillId="0" borderId="0" xfId="6" applyFont="1" applyAlignment="1">
      <alignment vertical="center"/>
    </xf>
    <xf numFmtId="0" fontId="8" fillId="0" borderId="0" xfId="13" applyFont="1" applyAlignment="1">
      <alignment vertical="center"/>
    </xf>
    <xf numFmtId="43" fontId="8" fillId="2" borderId="1" xfId="3" applyFont="1" applyFill="1" applyBorder="1" applyAlignment="1">
      <alignment horizontal="center" vertical="center"/>
    </xf>
    <xf numFmtId="43" fontId="8" fillId="2" borderId="7" xfId="3" applyFont="1" applyFill="1" applyBorder="1" applyAlignment="1">
      <alignment horizontal="center" vertical="center"/>
    </xf>
    <xf numFmtId="0" fontId="10" fillId="0" borderId="8" xfId="2" applyFont="1" applyBorder="1" applyAlignment="1">
      <alignment horizontal="center" vertical="center" wrapText="1"/>
    </xf>
    <xf numFmtId="43" fontId="6" fillId="0" borderId="8" xfId="12" applyFont="1" applyBorder="1" applyAlignment="1">
      <alignment vertical="center" wrapText="1"/>
    </xf>
    <xf numFmtId="0" fontId="10" fillId="0" borderId="0" xfId="2" applyFont="1" applyAlignment="1">
      <alignment vertical="center" wrapText="1"/>
    </xf>
    <xf numFmtId="0" fontId="10" fillId="0" borderId="9" xfId="2" applyFont="1" applyBorder="1" applyAlignment="1">
      <alignment horizontal="center" vertical="center"/>
    </xf>
    <xf numFmtId="0" fontId="8" fillId="0" borderId="10" xfId="2" applyFont="1" applyBorder="1" applyAlignment="1">
      <alignment vertical="center"/>
    </xf>
    <xf numFmtId="0" fontId="8" fillId="0" borderId="10" xfId="2" applyFont="1" applyBorder="1" applyAlignment="1">
      <alignment horizontal="right" vertical="center"/>
    </xf>
    <xf numFmtId="43" fontId="10" fillId="0" borderId="10" xfId="3" applyFont="1" applyBorder="1" applyAlignment="1">
      <alignment vertical="center"/>
    </xf>
    <xf numFmtId="0" fontId="10" fillId="0" borderId="0" xfId="2" applyFont="1" applyAlignment="1">
      <alignment horizontal="center" vertical="center"/>
    </xf>
    <xf numFmtId="43" fontId="10" fillId="0" borderId="0" xfId="3" applyFont="1" applyBorder="1" applyAlignment="1">
      <alignment vertical="center"/>
    </xf>
    <xf numFmtId="166" fontId="8" fillId="0" borderId="0" xfId="3" applyNumberFormat="1" applyFont="1" applyBorder="1" applyAlignment="1">
      <alignment vertical="center"/>
    </xf>
    <xf numFmtId="0" fontId="6" fillId="0" borderId="0" xfId="2" applyAlignment="1">
      <alignment horizontal="left" vertical="center"/>
    </xf>
    <xf numFmtId="43" fontId="8" fillId="0" borderId="0" xfId="3" applyFont="1" applyFill="1" applyAlignment="1">
      <alignment horizontal="left" vertical="center"/>
    </xf>
    <xf numFmtId="0" fontId="10" fillId="0" borderId="0" xfId="2" applyFont="1" applyAlignment="1">
      <alignment horizontal="left" vertical="center"/>
    </xf>
    <xf numFmtId="0" fontId="6" fillId="0" borderId="0" xfId="2" applyAlignment="1">
      <alignment vertical="center"/>
    </xf>
    <xf numFmtId="43" fontId="8" fillId="0" borderId="0" xfId="3" applyFont="1" applyFill="1" applyAlignment="1">
      <alignment vertical="center"/>
    </xf>
    <xf numFmtId="43" fontId="18" fillId="0" borderId="0" xfId="15" applyFont="1" applyBorder="1" applyAlignment="1">
      <alignment horizontal="left" vertical="center"/>
    </xf>
    <xf numFmtId="43" fontId="8" fillId="0" borderId="0" xfId="3" applyFont="1" applyBorder="1" applyAlignment="1">
      <alignment vertical="center"/>
    </xf>
    <xf numFmtId="43" fontId="6" fillId="0" borderId="0" xfId="15" applyFont="1" applyFill="1" applyBorder="1" applyAlignment="1">
      <alignment vertical="center"/>
    </xf>
    <xf numFmtId="0" fontId="12" fillId="0" borderId="0" xfId="2" applyFont="1" applyAlignment="1">
      <alignment vertical="center" wrapText="1"/>
    </xf>
    <xf numFmtId="43" fontId="12" fillId="0" borderId="0" xfId="3" applyFont="1" applyBorder="1" applyAlignment="1">
      <alignment vertical="center"/>
    </xf>
    <xf numFmtId="43" fontId="10" fillId="0" borderId="0" xfId="15" applyFont="1" applyBorder="1" applyAlignment="1">
      <alignment vertical="center"/>
    </xf>
    <xf numFmtId="43" fontId="8" fillId="0" borderId="0" xfId="15" applyFont="1" applyBorder="1" applyAlignment="1">
      <alignment vertical="center"/>
    </xf>
    <xf numFmtId="0" fontId="19" fillId="0" borderId="0" xfId="10" applyFont="1" applyAlignment="1">
      <alignment horizontal="left" vertical="top"/>
    </xf>
    <xf numFmtId="0" fontId="15" fillId="0" borderId="0" xfId="10" applyFont="1" applyAlignment="1">
      <alignment horizontal="left" vertical="top"/>
    </xf>
    <xf numFmtId="0" fontId="11" fillId="0" borderId="0" xfId="2" applyFont="1" applyAlignment="1">
      <alignment vertical="center"/>
    </xf>
    <xf numFmtId="43" fontId="20" fillId="0" borderId="0" xfId="2" applyNumberFormat="1" applyFont="1" applyAlignment="1">
      <alignment vertical="center"/>
    </xf>
    <xf numFmtId="0" fontId="5" fillId="0" borderId="0" xfId="0" applyFont="1" applyAlignment="1">
      <alignment horizontal="left" vertical="top"/>
    </xf>
    <xf numFmtId="0" fontId="5" fillId="6" borderId="0" xfId="0" applyFont="1" applyFill="1" applyAlignment="1">
      <alignment horizontal="left" vertical="top"/>
    </xf>
    <xf numFmtId="0" fontId="10" fillId="0" borderId="0" xfId="8" applyFont="1" applyAlignment="1">
      <alignment vertical="center"/>
    </xf>
    <xf numFmtId="0" fontId="8" fillId="0" borderId="0" xfId="8" applyFont="1" applyAlignment="1">
      <alignment horizontal="center" vertical="center"/>
    </xf>
    <xf numFmtId="43" fontId="9" fillId="0" borderId="0" xfId="1" applyFont="1" applyAlignment="1">
      <alignment horizontal="left" vertical="top"/>
    </xf>
    <xf numFmtId="43" fontId="10" fillId="0" borderId="0" xfId="1" applyFont="1" applyAlignment="1">
      <alignment vertical="center"/>
    </xf>
    <xf numFmtId="43" fontId="8" fillId="0" borderId="0" xfId="1" applyFont="1" applyAlignment="1">
      <alignment vertical="center"/>
    </xf>
    <xf numFmtId="0" fontId="9" fillId="0" borderId="0" xfId="0" applyFont="1" applyAlignment="1">
      <alignment horizontal="left" vertical="top"/>
    </xf>
    <xf numFmtId="0" fontId="10" fillId="0" borderId="0" xfId="8" applyFont="1"/>
    <xf numFmtId="0" fontId="8" fillId="0" borderId="0" xfId="8" applyFont="1" applyAlignment="1">
      <alignment horizontal="center"/>
    </xf>
    <xf numFmtId="43" fontId="10" fillId="0" borderId="0" xfId="1" applyFont="1"/>
    <xf numFmtId="43" fontId="8" fillId="0" borderId="0" xfId="1" applyFont="1"/>
    <xf numFmtId="15" fontId="8" fillId="0" borderId="0" xfId="8" applyNumberFormat="1" applyFont="1" applyAlignment="1">
      <alignment horizontal="left" vertical="center" indent="1"/>
    </xf>
    <xf numFmtId="15" fontId="8" fillId="0" borderId="0" xfId="8" applyNumberFormat="1" applyFont="1" applyAlignment="1">
      <alignment horizontal="center"/>
    </xf>
    <xf numFmtId="15" fontId="8" fillId="0" borderId="0" xfId="8" applyNumberFormat="1" applyFont="1" applyAlignment="1">
      <alignment horizontal="left" indent="1"/>
    </xf>
    <xf numFmtId="43" fontId="8" fillId="8" borderId="0" xfId="1" applyFont="1" applyFill="1"/>
    <xf numFmtId="43" fontId="9" fillId="8" borderId="0" xfId="1" applyFont="1" applyFill="1" applyAlignment="1">
      <alignment horizontal="left" vertical="top"/>
    </xf>
    <xf numFmtId="43" fontId="8" fillId="0" borderId="0" xfId="1" applyFont="1" applyFill="1"/>
    <xf numFmtId="43" fontId="9" fillId="0" borderId="0" xfId="1" applyFont="1" applyFill="1" applyAlignment="1">
      <alignment horizontal="left" vertical="top"/>
    </xf>
    <xf numFmtId="9" fontId="9" fillId="8" borderId="0" xfId="9" applyFont="1" applyFill="1" applyAlignment="1">
      <alignment horizontal="right" vertical="top"/>
    </xf>
    <xf numFmtId="0" fontId="8" fillId="5" borderId="15" xfId="0" applyFont="1" applyFill="1" applyBorder="1" applyAlignment="1">
      <alignment horizontal="center" vertical="center" wrapText="1"/>
    </xf>
    <xf numFmtId="0" fontId="8" fillId="5" borderId="16" xfId="0" applyFont="1" applyFill="1" applyBorder="1" applyAlignment="1">
      <alignment vertical="center" wrapText="1"/>
    </xf>
    <xf numFmtId="43" fontId="9" fillId="5" borderId="16" xfId="1" applyFont="1" applyFill="1" applyBorder="1" applyAlignment="1">
      <alignment horizontal="left" vertical="top"/>
    </xf>
    <xf numFmtId="43" fontId="9" fillId="0" borderId="16" xfId="1" applyFont="1" applyBorder="1" applyAlignment="1">
      <alignment wrapText="1"/>
    </xf>
    <xf numFmtId="43" fontId="8" fillId="0" borderId="16" xfId="1" applyFont="1" applyBorder="1" applyAlignment="1">
      <alignment horizontal="center" vertical="top" wrapText="1"/>
    </xf>
    <xf numFmtId="43" fontId="9" fillId="0" borderId="16" xfId="1" applyFont="1" applyBorder="1" applyAlignment="1">
      <alignment horizontal="left" vertical="top"/>
    </xf>
    <xf numFmtId="0" fontId="9" fillId="3" borderId="15" xfId="0" applyFont="1" applyFill="1" applyBorder="1" applyAlignment="1">
      <alignment horizontal="left" vertical="top"/>
    </xf>
    <xf numFmtId="43" fontId="9" fillId="3" borderId="16" xfId="1" applyFont="1" applyFill="1" applyBorder="1" applyAlignment="1">
      <alignment wrapText="1"/>
    </xf>
    <xf numFmtId="43" fontId="9" fillId="3" borderId="16" xfId="1" applyFont="1" applyFill="1" applyBorder="1" applyAlignment="1">
      <alignment vertical="top"/>
    </xf>
    <xf numFmtId="43" fontId="9" fillId="3" borderId="16" xfId="1" applyFont="1" applyFill="1" applyBorder="1" applyAlignment="1">
      <alignment horizontal="center" vertical="top" shrinkToFit="1"/>
    </xf>
    <xf numFmtId="43" fontId="9" fillId="3" borderId="16" xfId="1" applyFont="1" applyFill="1" applyBorder="1" applyAlignment="1">
      <alignment horizontal="left" vertical="top"/>
    </xf>
    <xf numFmtId="43" fontId="8" fillId="5" borderId="16" xfId="1" applyFont="1" applyFill="1" applyBorder="1" applyAlignment="1">
      <alignment vertical="top" wrapText="1"/>
    </xf>
    <xf numFmtId="43" fontId="10" fillId="0" borderId="16" xfId="1" applyFont="1" applyBorder="1" applyAlignment="1">
      <alignment horizontal="center" vertical="top" wrapText="1"/>
    </xf>
    <xf numFmtId="43" fontId="10" fillId="0" borderId="16" xfId="1" applyFont="1" applyBorder="1" applyAlignment="1">
      <alignment horizontal="left" vertical="top" wrapText="1"/>
    </xf>
    <xf numFmtId="0" fontId="9" fillId="6" borderId="15" xfId="0" applyFont="1" applyFill="1" applyBorder="1" applyAlignment="1">
      <alignment horizontal="left" vertical="top"/>
    </xf>
    <xf numFmtId="43" fontId="8" fillId="6" borderId="16" xfId="1" applyFont="1" applyFill="1" applyBorder="1" applyAlignment="1">
      <alignment horizontal="left" vertical="top" wrapText="1"/>
    </xf>
    <xf numFmtId="43" fontId="21" fillId="6" borderId="16" xfId="1" applyFont="1" applyFill="1" applyBorder="1" applyAlignment="1">
      <alignment horizontal="center" vertical="top" shrinkToFit="1"/>
    </xf>
    <xf numFmtId="43" fontId="9" fillId="6" borderId="16" xfId="1" applyFont="1" applyFill="1" applyBorder="1" applyAlignment="1">
      <alignment horizontal="left" vertical="top"/>
    </xf>
    <xf numFmtId="0" fontId="9" fillId="0" borderId="0" xfId="0" applyFont="1" applyAlignment="1">
      <alignment horizontal="left" vertical="top" indent="1"/>
    </xf>
    <xf numFmtId="0" fontId="9" fillId="0" borderId="0" xfId="0" applyFont="1" applyAlignment="1">
      <alignment horizontal="center" vertical="top"/>
    </xf>
    <xf numFmtId="0" fontId="22" fillId="0" borderId="0" xfId="0" applyFont="1" applyAlignment="1">
      <alignment horizontal="left" vertical="top"/>
    </xf>
    <xf numFmtId="43" fontId="21" fillId="4" borderId="16" xfId="1" applyFont="1" applyFill="1" applyBorder="1" applyAlignment="1">
      <alignment horizontal="center" vertical="center"/>
    </xf>
    <xf numFmtId="43" fontId="21" fillId="3" borderId="16" xfId="1" applyFont="1" applyFill="1" applyBorder="1" applyAlignment="1">
      <alignment wrapText="1"/>
    </xf>
    <xf numFmtId="43" fontId="21" fillId="3" borderId="16" xfId="1" applyFont="1" applyFill="1" applyBorder="1" applyAlignment="1">
      <alignment vertical="top"/>
    </xf>
    <xf numFmtId="43" fontId="21" fillId="3" borderId="16" xfId="1" applyFont="1" applyFill="1" applyBorder="1" applyAlignment="1">
      <alignment horizontal="center" vertical="top" shrinkToFit="1"/>
    </xf>
    <xf numFmtId="43" fontId="21" fillId="3" borderId="16" xfId="1" applyFont="1" applyFill="1" applyBorder="1" applyAlignment="1">
      <alignment horizontal="left" vertical="top"/>
    </xf>
    <xf numFmtId="0" fontId="21" fillId="0" borderId="0" xfId="0" applyFont="1" applyAlignment="1">
      <alignment horizontal="left" vertical="top"/>
    </xf>
    <xf numFmtId="0" fontId="9" fillId="0" borderId="15" xfId="0" applyFont="1" applyBorder="1" applyAlignment="1">
      <alignment horizontal="center" vertical="top"/>
    </xf>
    <xf numFmtId="43" fontId="9" fillId="8" borderId="0" xfId="1" applyFont="1" applyFill="1" applyAlignment="1">
      <alignment horizontal="right" vertical="top"/>
    </xf>
    <xf numFmtId="43" fontId="9" fillId="0" borderId="0" xfId="1" applyFont="1" applyAlignment="1">
      <alignment horizontal="right" vertical="top"/>
    </xf>
    <xf numFmtId="43" fontId="8" fillId="5" borderId="16" xfId="1" applyFont="1" applyFill="1" applyBorder="1" applyAlignment="1">
      <alignment vertical="center" wrapText="1"/>
    </xf>
    <xf numFmtId="43" fontId="9" fillId="5" borderId="17" xfId="1" applyFont="1" applyFill="1" applyBorder="1" applyAlignment="1">
      <alignment horizontal="left" vertical="top"/>
    </xf>
    <xf numFmtId="43" fontId="9" fillId="0" borderId="17" xfId="1" applyFont="1" applyBorder="1" applyAlignment="1">
      <alignment horizontal="left" vertical="top"/>
    </xf>
    <xf numFmtId="43" fontId="9" fillId="0" borderId="16" xfId="1" applyFont="1" applyBorder="1" applyAlignment="1">
      <alignment horizontal="center" vertical="top" shrinkToFit="1"/>
    </xf>
    <xf numFmtId="43" fontId="21" fillId="3" borderId="17" xfId="1" applyFont="1" applyFill="1" applyBorder="1" applyAlignment="1">
      <alignment horizontal="left" vertical="top"/>
    </xf>
    <xf numFmtId="43" fontId="9" fillId="3" borderId="17" xfId="1" applyFont="1" applyFill="1" applyBorder="1" applyAlignment="1">
      <alignment horizontal="left" vertical="top"/>
    </xf>
    <xf numFmtId="43" fontId="9" fillId="6" borderId="17" xfId="1" applyFont="1" applyFill="1" applyBorder="1" applyAlignment="1">
      <alignment horizontal="left" vertical="top"/>
    </xf>
    <xf numFmtId="43" fontId="10" fillId="0" borderId="0" xfId="1" applyFont="1" applyAlignment="1">
      <alignment horizontal="center" vertical="center"/>
    </xf>
    <xf numFmtId="43" fontId="10" fillId="0" borderId="0" xfId="1" applyFont="1" applyAlignment="1">
      <alignment horizontal="center"/>
    </xf>
    <xf numFmtId="43" fontId="9" fillId="0" borderId="16" xfId="1" applyFont="1" applyBorder="1" applyAlignment="1">
      <alignment horizontal="center" vertical="center"/>
    </xf>
    <xf numFmtId="43" fontId="9" fillId="0" borderId="0" xfId="1" applyFont="1" applyAlignment="1">
      <alignment horizontal="center" vertical="top"/>
    </xf>
    <xf numFmtId="0" fontId="9" fillId="0" borderId="15" xfId="0" applyFont="1" applyBorder="1" applyAlignment="1">
      <alignment horizontal="center" vertical="center"/>
    </xf>
    <xf numFmtId="0" fontId="9" fillId="9" borderId="15" xfId="0" applyFont="1" applyFill="1" applyBorder="1" applyAlignment="1">
      <alignment horizontal="center" vertical="top"/>
    </xf>
    <xf numFmtId="169" fontId="9" fillId="9" borderId="16" xfId="1" applyNumberFormat="1" applyFont="1" applyFill="1" applyBorder="1" applyAlignment="1">
      <alignment horizontal="center" vertical="top" shrinkToFit="1"/>
    </xf>
    <xf numFmtId="0" fontId="10" fillId="9" borderId="16" xfId="0" applyFont="1" applyFill="1" applyBorder="1" applyAlignment="1">
      <alignment horizontal="center" vertical="top" wrapText="1"/>
    </xf>
    <xf numFmtId="43" fontId="9" fillId="9" borderId="16" xfId="1" applyFont="1" applyFill="1" applyBorder="1" applyAlignment="1">
      <alignment horizontal="left" vertical="top" shrinkToFit="1"/>
    </xf>
    <xf numFmtId="43" fontId="10" fillId="9" borderId="16" xfId="1" applyFont="1" applyFill="1" applyBorder="1" applyAlignment="1">
      <alignment horizontal="center" vertical="top" wrapText="1"/>
    </xf>
    <xf numFmtId="43" fontId="9" fillId="9" borderId="16" xfId="1" applyFont="1" applyFill="1" applyBorder="1" applyAlignment="1">
      <alignment horizontal="left" vertical="top"/>
    </xf>
    <xf numFmtId="43" fontId="9" fillId="9" borderId="17" xfId="1" applyFont="1" applyFill="1" applyBorder="1" applyAlignment="1">
      <alignment horizontal="left" vertical="top"/>
    </xf>
    <xf numFmtId="43" fontId="10" fillId="9" borderId="16" xfId="1" applyFont="1" applyFill="1" applyBorder="1" applyAlignment="1">
      <alignment horizontal="left" vertical="top" wrapText="1"/>
    </xf>
    <xf numFmtId="0" fontId="0" fillId="9" borderId="0" xfId="0" applyFill="1" applyAlignment="1">
      <alignment horizontal="left" vertical="top"/>
    </xf>
    <xf numFmtId="0" fontId="9" fillId="10" borderId="15" xfId="0" applyFont="1" applyFill="1" applyBorder="1" applyAlignment="1">
      <alignment horizontal="center" vertical="top"/>
    </xf>
    <xf numFmtId="0" fontId="0" fillId="10" borderId="0" xfId="0" applyFill="1" applyAlignment="1">
      <alignment horizontal="left" vertical="top"/>
    </xf>
    <xf numFmtId="0" fontId="0" fillId="0" borderId="20" xfId="0" applyBorder="1" applyAlignment="1">
      <alignment horizontal="left" vertical="top"/>
    </xf>
    <xf numFmtId="0" fontId="6" fillId="10" borderId="16" xfId="25" applyFont="1" applyFill="1" applyBorder="1" applyAlignment="1">
      <alignment horizontal="left" vertical="center" indent="1"/>
    </xf>
    <xf numFmtId="0" fontId="24" fillId="0" borderId="16" xfId="0" applyFont="1" applyBorder="1" applyAlignment="1">
      <alignment horizontal="center" vertical="center"/>
    </xf>
    <xf numFmtId="43" fontId="26" fillId="0" borderId="16" xfId="0" applyNumberFormat="1" applyFont="1" applyBorder="1" applyAlignment="1">
      <alignment horizontal="center" vertical="center"/>
    </xf>
    <xf numFmtId="43" fontId="24" fillId="0" borderId="16" xfId="0" applyNumberFormat="1" applyFont="1" applyBorder="1" applyAlignment="1">
      <alignment horizontal="center" vertical="center"/>
    </xf>
    <xf numFmtId="0" fontId="0" fillId="0" borderId="16" xfId="0" applyBorder="1" applyAlignment="1">
      <alignment horizontal="left" vertical="top"/>
    </xf>
    <xf numFmtId="0" fontId="0" fillId="10" borderId="16" xfId="0" applyFill="1" applyBorder="1" applyAlignment="1">
      <alignment horizontal="left" vertical="top"/>
    </xf>
    <xf numFmtId="0" fontId="12" fillId="9" borderId="16" xfId="25" applyFont="1" applyFill="1" applyBorder="1" applyAlignment="1">
      <alignment vertical="center"/>
    </xf>
    <xf numFmtId="0" fontId="24" fillId="9" borderId="16" xfId="0" applyFont="1" applyFill="1" applyBorder="1" applyAlignment="1">
      <alignment horizontal="center" vertical="center"/>
    </xf>
    <xf numFmtId="0" fontId="0" fillId="9" borderId="16" xfId="0" applyFill="1" applyBorder="1" applyAlignment="1">
      <alignment horizontal="left" vertical="top"/>
    </xf>
    <xf numFmtId="0" fontId="25" fillId="9" borderId="16" xfId="0" applyFont="1" applyFill="1" applyBorder="1" applyAlignment="1">
      <alignment horizontal="center" vertical="center"/>
    </xf>
    <xf numFmtId="43" fontId="11" fillId="9" borderId="16" xfId="0" applyNumberFormat="1" applyFont="1" applyFill="1" applyBorder="1" applyAlignment="1">
      <alignment horizontal="center" vertical="center"/>
    </xf>
    <xf numFmtId="43" fontId="24" fillId="9" borderId="16" xfId="0" applyNumberFormat="1" applyFont="1" applyFill="1" applyBorder="1" applyAlignment="1">
      <alignment horizontal="center" vertical="center"/>
    </xf>
    <xf numFmtId="43" fontId="26" fillId="9" borderId="16" xfId="0" applyNumberFormat="1" applyFont="1" applyFill="1" applyBorder="1" applyAlignment="1">
      <alignment horizontal="center" vertical="center"/>
    </xf>
    <xf numFmtId="0" fontId="0" fillId="9" borderId="21" xfId="0" applyFill="1" applyBorder="1" applyAlignment="1">
      <alignment horizontal="left" vertical="top"/>
    </xf>
    <xf numFmtId="0" fontId="15" fillId="0" borderId="15" xfId="0" applyFont="1" applyBorder="1" applyAlignment="1">
      <alignment horizontal="center" vertical="top"/>
    </xf>
    <xf numFmtId="0" fontId="15" fillId="9" borderId="15" xfId="0" applyFont="1" applyFill="1" applyBorder="1" applyAlignment="1">
      <alignment horizontal="center" vertical="top"/>
    </xf>
    <xf numFmtId="0" fontId="5" fillId="9" borderId="0" xfId="0" applyFont="1" applyFill="1" applyAlignment="1">
      <alignment horizontal="left" vertical="top"/>
    </xf>
    <xf numFmtId="0" fontId="0" fillId="0" borderId="19" xfId="0" applyBorder="1" applyAlignment="1">
      <alignment horizontal="left" vertical="top"/>
    </xf>
    <xf numFmtId="0" fontId="0" fillId="0" borderId="18" xfId="0" applyBorder="1" applyAlignment="1">
      <alignment horizontal="left" vertical="top"/>
    </xf>
    <xf numFmtId="0" fontId="0" fillId="10" borderId="18" xfId="0" applyFill="1" applyBorder="1" applyAlignment="1">
      <alignment horizontal="left" vertical="top"/>
    </xf>
    <xf numFmtId="0" fontId="0" fillId="9" borderId="18" xfId="0" applyFill="1" applyBorder="1" applyAlignment="1">
      <alignment horizontal="left" vertical="top"/>
    </xf>
    <xf numFmtId="0" fontId="21" fillId="9" borderId="16" xfId="0" applyFont="1" applyFill="1" applyBorder="1" applyAlignment="1">
      <alignment horizontal="left" vertical="center" indent="1"/>
    </xf>
    <xf numFmtId="0" fontId="9" fillId="6" borderId="15" xfId="0" applyFont="1" applyFill="1" applyBorder="1" applyAlignment="1">
      <alignment horizontal="center" vertical="top"/>
    </xf>
    <xf numFmtId="43" fontId="9" fillId="6" borderId="16" xfId="1" applyFont="1" applyFill="1" applyBorder="1" applyAlignment="1">
      <alignment horizontal="left" vertical="center" shrinkToFit="1"/>
    </xf>
    <xf numFmtId="43" fontId="10" fillId="6" borderId="16" xfId="1" applyFont="1" applyFill="1" applyBorder="1" applyAlignment="1">
      <alignment horizontal="center" vertical="center" wrapText="1"/>
    </xf>
    <xf numFmtId="43" fontId="9" fillId="6" borderId="16" xfId="1" applyFont="1" applyFill="1" applyBorder="1" applyAlignment="1">
      <alignment horizontal="left" vertical="center"/>
    </xf>
    <xf numFmtId="0" fontId="29" fillId="9" borderId="16" xfId="0" applyFont="1" applyFill="1" applyBorder="1" applyAlignment="1">
      <alignment horizontal="left" vertical="top" wrapText="1"/>
    </xf>
    <xf numFmtId="0" fontId="29" fillId="0" borderId="16" xfId="0" applyFont="1" applyBorder="1" applyAlignment="1">
      <alignment horizontal="left" vertical="top" wrapText="1"/>
    </xf>
    <xf numFmtId="0" fontId="12" fillId="9" borderId="16" xfId="0" applyFont="1" applyFill="1" applyBorder="1" applyAlignment="1">
      <alignment horizontal="left" vertical="top" wrapText="1"/>
    </xf>
    <xf numFmtId="0" fontId="28" fillId="10" borderId="16" xfId="0" applyFont="1" applyFill="1" applyBorder="1" applyAlignment="1">
      <alignment horizontal="left" vertical="top" wrapText="1"/>
    </xf>
    <xf numFmtId="0" fontId="28" fillId="0" borderId="16" xfId="0" applyFont="1" applyBorder="1" applyAlignment="1">
      <alignment horizontal="left" vertical="top" wrapText="1"/>
    </xf>
    <xf numFmtId="0" fontId="8" fillId="9" borderId="16" xfId="0" applyFont="1" applyFill="1" applyBorder="1" applyAlignment="1">
      <alignment horizontal="left" vertical="top" wrapText="1"/>
    </xf>
    <xf numFmtId="0" fontId="27" fillId="10" borderId="16" xfId="0" applyFont="1" applyFill="1" applyBorder="1" applyAlignment="1">
      <alignment horizontal="left" vertical="top" wrapText="1"/>
    </xf>
    <xf numFmtId="0" fontId="27" fillId="0" borderId="16" xfId="0" applyFont="1" applyBorder="1" applyAlignment="1">
      <alignment horizontal="left" vertical="top" wrapText="1"/>
    </xf>
    <xf numFmtId="0" fontId="9" fillId="7" borderId="22" xfId="0" applyFont="1" applyFill="1" applyBorder="1" applyAlignment="1">
      <alignment horizontal="left" vertical="top"/>
    </xf>
    <xf numFmtId="43" fontId="9" fillId="7" borderId="23" xfId="1" applyFont="1" applyFill="1" applyBorder="1" applyAlignment="1">
      <alignment horizontal="left" vertical="top"/>
    </xf>
    <xf numFmtId="43" fontId="21" fillId="6" borderId="16" xfId="1" applyFont="1" applyFill="1" applyBorder="1" applyAlignment="1">
      <alignment horizontal="left" vertical="center"/>
    </xf>
    <xf numFmtId="43" fontId="10" fillId="6" borderId="16" xfId="1" applyFont="1" applyFill="1" applyBorder="1" applyAlignment="1">
      <alignment horizontal="left" vertical="center" wrapText="1"/>
    </xf>
    <xf numFmtId="43" fontId="9" fillId="6" borderId="17" xfId="1" applyFont="1" applyFill="1" applyBorder="1" applyAlignment="1">
      <alignment horizontal="left" vertical="center"/>
    </xf>
    <xf numFmtId="43" fontId="21" fillId="7" borderId="23" xfId="1" applyFont="1" applyFill="1" applyBorder="1" applyAlignment="1">
      <alignment horizontal="left" vertical="top"/>
    </xf>
    <xf numFmtId="170" fontId="19" fillId="7" borderId="24" xfId="1" applyNumberFormat="1" applyFont="1" applyFill="1" applyBorder="1" applyAlignment="1">
      <alignment horizontal="left" vertical="top"/>
    </xf>
    <xf numFmtId="0" fontId="23" fillId="0" borderId="0" xfId="13" applyFont="1" applyAlignment="1">
      <alignment vertical="center"/>
    </xf>
    <xf numFmtId="165" fontId="23" fillId="0" borderId="10" xfId="12" applyNumberFormat="1" applyFont="1" applyBorder="1" applyAlignment="1">
      <alignment horizontal="right" vertical="center"/>
    </xf>
    <xf numFmtId="165" fontId="23" fillId="0" borderId="11" xfId="12" applyNumberFormat="1" applyFont="1" applyBorder="1" applyAlignment="1">
      <alignment horizontal="right" vertical="center"/>
    </xf>
    <xf numFmtId="0" fontId="8" fillId="0" borderId="0" xfId="2" applyFont="1" applyAlignment="1">
      <alignment horizontal="left" vertical="center" wrapText="1"/>
    </xf>
    <xf numFmtId="0" fontId="6" fillId="0" borderId="0" xfId="2" applyAlignment="1">
      <alignment horizontal="left" vertical="center" wrapText="1"/>
    </xf>
    <xf numFmtId="0" fontId="8" fillId="2" borderId="1" xfId="2" applyFont="1" applyFill="1" applyBorder="1" applyAlignment="1">
      <alignment horizontal="center" vertical="center"/>
    </xf>
    <xf numFmtId="0" fontId="8" fillId="2" borderId="4" xfId="2" applyFont="1" applyFill="1" applyBorder="1" applyAlignment="1">
      <alignment horizontal="center" vertical="center"/>
    </xf>
    <xf numFmtId="0" fontId="8" fillId="2" borderId="2" xfId="2" applyFont="1" applyFill="1" applyBorder="1" applyAlignment="1">
      <alignment horizontal="center" vertical="center"/>
    </xf>
    <xf numFmtId="0" fontId="8" fillId="2" borderId="3" xfId="2" applyFont="1" applyFill="1" applyBorder="1" applyAlignment="1">
      <alignment horizontal="center" vertical="center"/>
    </xf>
    <xf numFmtId="0" fontId="8" fillId="2" borderId="5" xfId="2" applyFont="1" applyFill="1" applyBorder="1" applyAlignment="1">
      <alignment horizontal="center" vertical="center"/>
    </xf>
    <xf numFmtId="0" fontId="8" fillId="2" borderId="6" xfId="2" applyFont="1" applyFill="1" applyBorder="1" applyAlignment="1">
      <alignment horizontal="center" vertical="center"/>
    </xf>
    <xf numFmtId="0" fontId="6" fillId="0" borderId="8" xfId="2" applyBorder="1" applyAlignment="1">
      <alignment horizontal="left" vertical="center" wrapText="1"/>
    </xf>
    <xf numFmtId="43" fontId="15" fillId="0" borderId="16" xfId="1" applyFont="1" applyBorder="1" applyAlignment="1">
      <alignment horizontal="center" vertical="center"/>
    </xf>
    <xf numFmtId="43" fontId="15" fillId="0" borderId="17" xfId="1" applyFont="1" applyBorder="1" applyAlignment="1">
      <alignment horizontal="center" vertical="center"/>
    </xf>
    <xf numFmtId="43" fontId="6" fillId="0" borderId="16" xfId="1" applyFont="1" applyBorder="1" applyAlignment="1">
      <alignment horizontal="center" vertical="center" wrapText="1"/>
    </xf>
    <xf numFmtId="43" fontId="9" fillId="0" borderId="16" xfId="1" applyFont="1" applyBorder="1" applyAlignment="1">
      <alignment horizontal="center" vertical="center"/>
    </xf>
    <xf numFmtId="43" fontId="9" fillId="0" borderId="16" xfId="1" applyFont="1" applyBorder="1" applyAlignment="1">
      <alignment horizontal="center" vertical="center" shrinkToFit="1"/>
    </xf>
    <xf numFmtId="43" fontId="10" fillId="0" borderId="16" xfId="1" applyFont="1" applyBorder="1" applyAlignment="1">
      <alignment horizontal="center" vertical="center" wrapText="1"/>
    </xf>
    <xf numFmtId="43" fontId="15" fillId="0" borderId="16" xfId="1" applyFont="1" applyBorder="1" applyAlignment="1">
      <alignment horizontal="center" vertical="center" shrinkToFit="1"/>
    </xf>
    <xf numFmtId="43" fontId="10" fillId="0" borderId="16" xfId="0" applyNumberFormat="1" applyFont="1" applyBorder="1" applyAlignment="1">
      <alignment horizontal="center" vertical="center" wrapText="1"/>
    </xf>
    <xf numFmtId="0" fontId="10" fillId="0" borderId="16" xfId="0" applyFont="1" applyBorder="1" applyAlignment="1">
      <alignment horizontal="center" vertical="center" wrapText="1"/>
    </xf>
    <xf numFmtId="43" fontId="10" fillId="0" borderId="17" xfId="0" applyNumberFormat="1" applyFont="1" applyBorder="1" applyAlignment="1">
      <alignment horizontal="center" vertical="center" wrapText="1"/>
    </xf>
    <xf numFmtId="0" fontId="10" fillId="0" borderId="17" xfId="0" applyFont="1" applyBorder="1" applyAlignment="1">
      <alignment horizontal="center" vertical="center" wrapText="1"/>
    </xf>
    <xf numFmtId="0" fontId="21" fillId="4" borderId="12" xfId="0" applyFont="1" applyFill="1" applyBorder="1" applyAlignment="1">
      <alignment horizontal="center" vertical="center"/>
    </xf>
    <xf numFmtId="0" fontId="21" fillId="4" borderId="15" xfId="0" applyFont="1" applyFill="1" applyBorder="1" applyAlignment="1">
      <alignment horizontal="center" vertical="center"/>
    </xf>
    <xf numFmtId="0" fontId="21" fillId="4" borderId="13" xfId="0" applyFont="1" applyFill="1" applyBorder="1" applyAlignment="1">
      <alignment horizontal="center" vertical="center"/>
    </xf>
    <xf numFmtId="0" fontId="21" fillId="4" borderId="16" xfId="0" applyFont="1" applyFill="1" applyBorder="1" applyAlignment="1">
      <alignment horizontal="center" vertical="center"/>
    </xf>
    <xf numFmtId="43" fontId="21" fillId="4" borderId="13" xfId="1" applyFont="1" applyFill="1" applyBorder="1" applyAlignment="1">
      <alignment horizontal="center" vertical="center"/>
    </xf>
    <xf numFmtId="43" fontId="21" fillId="4" borderId="16" xfId="1" applyFont="1" applyFill="1" applyBorder="1" applyAlignment="1">
      <alignment horizontal="center" vertical="center"/>
    </xf>
    <xf numFmtId="0" fontId="18" fillId="3" borderId="16" xfId="0" applyFont="1" applyFill="1" applyBorder="1" applyAlignment="1">
      <alignment horizontal="right" vertical="top" wrapText="1"/>
    </xf>
    <xf numFmtId="43" fontId="21" fillId="4" borderId="13" xfId="1" applyFont="1" applyFill="1" applyBorder="1" applyAlignment="1">
      <alignment horizontal="center" vertical="center" wrapText="1"/>
    </xf>
    <xf numFmtId="43" fontId="21" fillId="4" borderId="16" xfId="1" applyFont="1" applyFill="1" applyBorder="1" applyAlignment="1">
      <alignment horizontal="center" vertical="center" wrapText="1"/>
    </xf>
    <xf numFmtId="43" fontId="21" fillId="4" borderId="14" xfId="1" applyFont="1" applyFill="1" applyBorder="1" applyAlignment="1">
      <alignment horizontal="center" vertical="center" wrapText="1"/>
    </xf>
    <xf numFmtId="43" fontId="21" fillId="4" borderId="17" xfId="1" applyFont="1" applyFill="1" applyBorder="1" applyAlignment="1">
      <alignment horizontal="center" vertical="center" wrapText="1"/>
    </xf>
    <xf numFmtId="0" fontId="21" fillId="7" borderId="23" xfId="0" applyFont="1" applyFill="1" applyBorder="1" applyAlignment="1">
      <alignment horizontal="right" vertical="top"/>
    </xf>
    <xf numFmtId="0" fontId="21" fillId="6" borderId="16" xfId="0" applyFont="1" applyFill="1" applyBorder="1" applyAlignment="1">
      <alignment horizontal="right" wrapText="1"/>
    </xf>
    <xf numFmtId="0" fontId="21" fillId="6" borderId="16" xfId="0" applyFont="1" applyFill="1" applyBorder="1" applyAlignment="1">
      <alignment horizontal="right" vertical="center" wrapText="1"/>
    </xf>
    <xf numFmtId="0" fontId="8" fillId="3" borderId="16" xfId="0" applyFont="1" applyFill="1" applyBorder="1" applyAlignment="1">
      <alignment horizontal="right" vertical="top" wrapText="1"/>
    </xf>
    <xf numFmtId="0" fontId="21" fillId="6" borderId="16" xfId="0" applyFont="1" applyFill="1" applyBorder="1" applyAlignment="1">
      <alignment horizontal="right" vertical="center"/>
    </xf>
    <xf numFmtId="0" fontId="9" fillId="0" borderId="16" xfId="0" applyFont="1" applyBorder="1" applyAlignment="1">
      <alignment horizontal="center" vertical="center"/>
    </xf>
  </cellXfs>
  <cellStyles count="26">
    <cellStyle name="Comma" xfId="1" builtinId="3"/>
    <cellStyle name="Comma 2" xfId="16" xr:uid="{1E9C708F-675C-4561-B869-FCDD5D86B771}"/>
    <cellStyle name="Comma 2 2" xfId="4" xr:uid="{00000000-0005-0000-0000-000001000000}"/>
    <cellStyle name="Comma 2 2 2" xfId="3" xr:uid="{00000000-0005-0000-0000-000002000000}"/>
    <cellStyle name="Comma 2 2 2 2" xfId="17" xr:uid="{6CD1AD2F-FC75-40EC-93D7-8B609D653A5F}"/>
    <cellStyle name="Comma 2 2 3" xfId="18" xr:uid="{98C053D7-AB1E-49DF-8956-CCDF8A60CDBB}"/>
    <cellStyle name="Comma 2 2 3 2" xfId="12" xr:uid="{C0C722D9-E13C-42EB-8181-C9C472D3B124}"/>
    <cellStyle name="Comma 2 2 3 2 2" xfId="22" xr:uid="{B335CEA4-D23D-4B37-ABB5-5FD1EAE2B119}"/>
    <cellStyle name="Comma 3 2" xfId="7" xr:uid="{00000000-0005-0000-0000-000003000000}"/>
    <cellStyle name="Comma 3 2 2" xfId="21" xr:uid="{72294018-726F-44BC-8BE3-6D2DBDBAB73C}"/>
    <cellStyle name="Comma 3 2 2 2" xfId="15" xr:uid="{C9AC22D3-9693-45B4-9178-3DCB3DE38C9F}"/>
    <cellStyle name="Comma 3 2 2 2 2" xfId="24" xr:uid="{D7AF39D0-9501-49BE-B6CD-CD7665BDCEE9}"/>
    <cellStyle name="Comma 3 2 5" xfId="6" xr:uid="{00000000-0005-0000-0000-000004000000}"/>
    <cellStyle name="Comma 3 2 5 2" xfId="20" xr:uid="{7CBB7EAF-EAC5-4C17-A47C-FBE8C8DF646A}"/>
    <cellStyle name="Normal" xfId="0" builtinId="0"/>
    <cellStyle name="Normal 2 2" xfId="8" xr:uid="{00000000-0005-0000-0000-000006000000}"/>
    <cellStyle name="Normal 2 2 2" xfId="5" xr:uid="{00000000-0005-0000-0000-000007000000}"/>
    <cellStyle name="Normal 2 2 2 2" xfId="19" xr:uid="{A83FA3C8-B29B-4E0A-A8E1-8C789A2155C5}"/>
    <cellStyle name="Normal 2 3 2" xfId="13" xr:uid="{613E3847-1FA6-44E2-8069-6CE06B907841}"/>
    <cellStyle name="Normal 2 3 2 2" xfId="23" xr:uid="{ADF1F45A-DE80-4F02-8F4A-1299FDA6CD8A}"/>
    <cellStyle name="Normal 2 4" xfId="10" xr:uid="{4DB682B9-9E8D-4925-A544-F61F1BC304A2}"/>
    <cellStyle name="Normal 3" xfId="11" xr:uid="{4FF0D54A-7E02-4817-BFB7-2613A9F5883C}"/>
    <cellStyle name="Normal 3 2 2" xfId="14" xr:uid="{71EF53D6-CDFB-48DB-9B6E-479C49A47283}"/>
    <cellStyle name="Normal 3 2 3" xfId="2" xr:uid="{00000000-0005-0000-0000-000008000000}"/>
    <cellStyle name="Normal 7" xfId="25" xr:uid="{3403D1F9-F9A6-4DBA-B250-66DF95017E1E}"/>
    <cellStyle name="Percent" xfId="9"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customXml" Target="../customXml/item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10" Type="http://schemas.openxmlformats.org/officeDocument/2006/relationships/externalLink" Target="externalLinks/externalLink8.xml"/><Relationship Id="rId19"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66677</xdr:colOff>
      <xdr:row>40</xdr:row>
      <xdr:rowOff>173356</xdr:rowOff>
    </xdr:from>
    <xdr:to>
      <xdr:col>7</xdr:col>
      <xdr:colOff>0</xdr:colOff>
      <xdr:row>43</xdr:row>
      <xdr:rowOff>221868</xdr:rowOff>
    </xdr:to>
    <xdr:pic>
      <xdr:nvPicPr>
        <xdr:cNvPr id="2" name="Picture 1">
          <a:extLst>
            <a:ext uri="{FF2B5EF4-FFF2-40B4-BE49-F238E27FC236}">
              <a16:creationId xmlns:a16="http://schemas.microsoft.com/office/drawing/2014/main" id="{184103D7-4E79-4951-AE55-397548B75F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7" y="8799196"/>
          <a:ext cx="8460103" cy="734312"/>
        </a:xfrm>
        <a:prstGeom prst="rect">
          <a:avLst/>
        </a:prstGeom>
      </xdr:spPr>
    </xdr:pic>
    <xdr:clientData/>
  </xdr:twoCellAnchor>
  <xdr:twoCellAnchor editAs="oneCell">
    <xdr:from>
      <xdr:col>0</xdr:col>
      <xdr:colOff>171449</xdr:colOff>
      <xdr:row>37</xdr:row>
      <xdr:rowOff>47625</xdr:rowOff>
    </xdr:from>
    <xdr:to>
      <xdr:col>2</xdr:col>
      <xdr:colOff>361950</xdr:colOff>
      <xdr:row>40</xdr:row>
      <xdr:rowOff>105896</xdr:rowOff>
    </xdr:to>
    <xdr:pic>
      <xdr:nvPicPr>
        <xdr:cNvPr id="4" name="Picture 3">
          <a:extLst>
            <a:ext uri="{FF2B5EF4-FFF2-40B4-BE49-F238E27FC236}">
              <a16:creationId xmlns:a16="http://schemas.microsoft.com/office/drawing/2014/main" id="{E1A4BDB5-B09D-4F86-94A3-B3D974D376EA}"/>
            </a:ext>
          </a:extLst>
        </xdr:cNvPr>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51172" b="82813" l="50684" r="81348">
                      <a14:foregroundMark x1="52762" y1="67420" x2="52832" y2="71289"/>
                      <a14:foregroundMark x1="55127" y1="68164" x2="52832" y2="82813"/>
                      <a14:foregroundMark x1="52832" y1="82813" x2="52832" y2="82813"/>
                      <a14:foregroundMark x1="50684" y1="62826" x2="50924" y2="63821"/>
                      <a14:backgroundMark x1="52197" y1="61979" x2="54102" y2="58594"/>
                      <a14:backgroundMark x1="52588" y1="65039" x2="51563" y2="68424"/>
                      <a14:backgroundMark x1="53027" y1="60026" x2="52588" y2="62826"/>
                      <a14:backgroundMark x1="51953" y1="64779" x2="51123" y2="66471"/>
                      <a14:backgroundMark x1="52588" y1="68424" x2="53467" y2="68750"/>
                      <a14:backgroundMark x1="53223" y1="58594" x2="51318" y2="65625"/>
                      <a14:backgroundMark x1="53223" y1="63411" x2="52393" y2="66211"/>
                      <a14:backgroundMark x1="53467" y1="68750" x2="52393" y2="69596"/>
                      <a14:backgroundMark x1="59131" y1="64779" x2="59131" y2="64779"/>
                    </a14:backgroundRemoval>
                  </a14:imgEffect>
                </a14:imgLayer>
              </a14:imgProps>
            </a:ext>
            <a:ext uri="{28A0092B-C50C-407E-A947-70E740481C1C}">
              <a14:useLocalDpi xmlns:a14="http://schemas.microsoft.com/office/drawing/2010/main" val="0"/>
            </a:ext>
          </a:extLst>
        </a:blip>
        <a:srcRect l="47958" t="47324" r="14859" b="13803"/>
        <a:stretch/>
      </xdr:blipFill>
      <xdr:spPr bwMode="auto">
        <a:xfrm>
          <a:off x="171449" y="7915275"/>
          <a:ext cx="1009651" cy="744071"/>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3</xdr:col>
      <xdr:colOff>123825</xdr:colOff>
      <xdr:row>37</xdr:row>
      <xdr:rowOff>47625</xdr:rowOff>
    </xdr:from>
    <xdr:to>
      <xdr:col>5</xdr:col>
      <xdr:colOff>266701</xdr:colOff>
      <xdr:row>40</xdr:row>
      <xdr:rowOff>105896</xdr:rowOff>
    </xdr:to>
    <xdr:pic>
      <xdr:nvPicPr>
        <xdr:cNvPr id="5" name="Picture 4">
          <a:extLst>
            <a:ext uri="{FF2B5EF4-FFF2-40B4-BE49-F238E27FC236}">
              <a16:creationId xmlns:a16="http://schemas.microsoft.com/office/drawing/2014/main" id="{265CB102-CA08-4C83-B5B9-298EE6B67A92}"/>
            </a:ext>
          </a:extLst>
        </xdr:cNvPr>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51172" b="82813" l="50684" r="81348">
                      <a14:foregroundMark x1="52762" y1="67420" x2="52832" y2="71289"/>
                      <a14:foregroundMark x1="55127" y1="68164" x2="52832" y2="82813"/>
                      <a14:foregroundMark x1="52832" y1="82813" x2="52832" y2="82813"/>
                      <a14:foregroundMark x1="50684" y1="62826" x2="50924" y2="63821"/>
                      <a14:backgroundMark x1="52197" y1="61979" x2="54102" y2="58594"/>
                      <a14:backgroundMark x1="52588" y1="65039" x2="51563" y2="68424"/>
                      <a14:backgroundMark x1="53027" y1="60026" x2="52588" y2="62826"/>
                      <a14:backgroundMark x1="51953" y1="64779" x2="51123" y2="66471"/>
                      <a14:backgroundMark x1="52588" y1="68424" x2="53467" y2="68750"/>
                      <a14:backgroundMark x1="53223" y1="58594" x2="51318" y2="65625"/>
                      <a14:backgroundMark x1="53223" y1="63411" x2="52393" y2="66211"/>
                      <a14:backgroundMark x1="53467" y1="68750" x2="52393" y2="69596"/>
                      <a14:backgroundMark x1="59131" y1="64779" x2="59131" y2="64779"/>
                    </a14:backgroundRemoval>
                  </a14:imgEffect>
                </a14:imgLayer>
              </a14:imgProps>
            </a:ext>
            <a:ext uri="{28A0092B-C50C-407E-A947-70E740481C1C}">
              <a14:useLocalDpi xmlns:a14="http://schemas.microsoft.com/office/drawing/2010/main" val="0"/>
            </a:ext>
          </a:extLst>
        </a:blip>
        <a:srcRect l="47958" t="47324" r="14859" b="13803"/>
        <a:stretch/>
      </xdr:blipFill>
      <xdr:spPr bwMode="auto">
        <a:xfrm>
          <a:off x="3686175" y="7915275"/>
          <a:ext cx="1009651" cy="744071"/>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895350</xdr:colOff>
      <xdr:row>0</xdr:row>
      <xdr:rowOff>9525</xdr:rowOff>
    </xdr:from>
    <xdr:to>
      <xdr:col>13</xdr:col>
      <xdr:colOff>1240817</xdr:colOff>
      <xdr:row>2</xdr:row>
      <xdr:rowOff>100634</xdr:rowOff>
    </xdr:to>
    <xdr:pic>
      <xdr:nvPicPr>
        <xdr:cNvPr id="4" name="Picture 3">
          <a:extLst>
            <a:ext uri="{FF2B5EF4-FFF2-40B4-BE49-F238E27FC236}">
              <a16:creationId xmlns:a16="http://schemas.microsoft.com/office/drawing/2014/main" id="{CEF8D396-9BC0-42E6-A801-5AFAA8093C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96150" y="9525"/>
          <a:ext cx="3288692" cy="472109"/>
        </a:xfrm>
        <a:prstGeom prst="rect">
          <a:avLst/>
        </a:prstGeom>
      </xdr:spPr>
    </xdr:pic>
    <xdr:clientData/>
  </xdr:twoCellAnchor>
  <xdr:twoCellAnchor editAs="oneCell">
    <xdr:from>
      <xdr:col>0</xdr:col>
      <xdr:colOff>238125</xdr:colOff>
      <xdr:row>194</xdr:row>
      <xdr:rowOff>114300</xdr:rowOff>
    </xdr:from>
    <xdr:to>
      <xdr:col>1</xdr:col>
      <xdr:colOff>514351</xdr:colOff>
      <xdr:row>199</xdr:row>
      <xdr:rowOff>48746</xdr:rowOff>
    </xdr:to>
    <xdr:pic>
      <xdr:nvPicPr>
        <xdr:cNvPr id="6" name="Picture 5">
          <a:extLst>
            <a:ext uri="{FF2B5EF4-FFF2-40B4-BE49-F238E27FC236}">
              <a16:creationId xmlns:a16="http://schemas.microsoft.com/office/drawing/2014/main" id="{D8DB9248-15B4-49D2-930E-181CC6D479A4}"/>
            </a:ext>
          </a:extLst>
        </xdr:cNvPr>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51172" b="82813" l="50684" r="81348">
                      <a14:foregroundMark x1="52762" y1="67420" x2="52832" y2="71289"/>
                      <a14:foregroundMark x1="55127" y1="68164" x2="52832" y2="82813"/>
                      <a14:foregroundMark x1="52832" y1="82813" x2="52832" y2="82813"/>
                      <a14:foregroundMark x1="50684" y1="62826" x2="50924" y2="63821"/>
                      <a14:backgroundMark x1="52197" y1="61979" x2="54102" y2="58594"/>
                      <a14:backgroundMark x1="52588" y1="65039" x2="51563" y2="68424"/>
                      <a14:backgroundMark x1="53027" y1="60026" x2="52588" y2="62826"/>
                      <a14:backgroundMark x1="51953" y1="64779" x2="51123" y2="66471"/>
                      <a14:backgroundMark x1="52588" y1="68424" x2="53467" y2="68750"/>
                      <a14:backgroundMark x1="53223" y1="58594" x2="51318" y2="65625"/>
                      <a14:backgroundMark x1="53223" y1="63411" x2="52393" y2="66211"/>
                      <a14:backgroundMark x1="53467" y1="68750" x2="52393" y2="69596"/>
                      <a14:backgroundMark x1="59131" y1="64779" x2="59131" y2="64779"/>
                    </a14:backgroundRemoval>
                  </a14:imgEffect>
                </a14:imgLayer>
              </a14:imgProps>
            </a:ext>
            <a:ext uri="{28A0092B-C50C-407E-A947-70E740481C1C}">
              <a14:useLocalDpi xmlns:a14="http://schemas.microsoft.com/office/drawing/2010/main" val="0"/>
            </a:ext>
          </a:extLst>
        </a:blip>
        <a:srcRect l="47958" t="47324" r="14859" b="13803"/>
        <a:stretch/>
      </xdr:blipFill>
      <xdr:spPr bwMode="auto">
        <a:xfrm>
          <a:off x="238125" y="9544050"/>
          <a:ext cx="1009651" cy="744071"/>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2</xdr:col>
      <xdr:colOff>85725</xdr:colOff>
      <xdr:row>194</xdr:row>
      <xdr:rowOff>57150</xdr:rowOff>
    </xdr:from>
    <xdr:to>
      <xdr:col>9</xdr:col>
      <xdr:colOff>47626</xdr:colOff>
      <xdr:row>198</xdr:row>
      <xdr:rowOff>153521</xdr:rowOff>
    </xdr:to>
    <xdr:pic>
      <xdr:nvPicPr>
        <xdr:cNvPr id="5" name="Picture 4">
          <a:extLst>
            <a:ext uri="{FF2B5EF4-FFF2-40B4-BE49-F238E27FC236}">
              <a16:creationId xmlns:a16="http://schemas.microsoft.com/office/drawing/2014/main" id="{7D6F1DC2-41FF-4DD6-97AF-EE8F36DDB920}"/>
            </a:ext>
          </a:extLst>
        </xdr:cNvPr>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51172" b="82813" l="50684" r="81348">
                      <a14:foregroundMark x1="52762" y1="67420" x2="52832" y2="71289"/>
                      <a14:foregroundMark x1="55127" y1="68164" x2="52832" y2="82813"/>
                      <a14:foregroundMark x1="52832" y1="82813" x2="52832" y2="82813"/>
                      <a14:foregroundMark x1="50684" y1="62826" x2="50924" y2="63821"/>
                      <a14:backgroundMark x1="52197" y1="61979" x2="54102" y2="58594"/>
                      <a14:backgroundMark x1="52588" y1="65039" x2="51563" y2="68424"/>
                      <a14:backgroundMark x1="53027" y1="60026" x2="52588" y2="62826"/>
                      <a14:backgroundMark x1="51953" y1="64779" x2="51123" y2="66471"/>
                      <a14:backgroundMark x1="52588" y1="68424" x2="53467" y2="68750"/>
                      <a14:backgroundMark x1="53223" y1="58594" x2="51318" y2="65625"/>
                      <a14:backgroundMark x1="53223" y1="63411" x2="52393" y2="66211"/>
                      <a14:backgroundMark x1="53467" y1="68750" x2="52393" y2="69596"/>
                      <a14:backgroundMark x1="59131" y1="64779" x2="59131" y2="64779"/>
                    </a14:backgroundRemoval>
                  </a14:imgEffect>
                </a14:imgLayer>
              </a14:imgProps>
            </a:ext>
            <a:ext uri="{28A0092B-C50C-407E-A947-70E740481C1C}">
              <a14:useLocalDpi xmlns:a14="http://schemas.microsoft.com/office/drawing/2010/main" val="0"/>
            </a:ext>
          </a:extLst>
        </a:blip>
        <a:srcRect l="47958" t="47324" r="14859" b="13803"/>
        <a:stretch/>
      </xdr:blipFill>
      <xdr:spPr bwMode="auto">
        <a:xfrm>
          <a:off x="4619625" y="44843700"/>
          <a:ext cx="1009651" cy="744071"/>
        </a:xfrm>
        <a:prstGeom prst="rect">
          <a:avLst/>
        </a:prstGeom>
        <a:noFill/>
        <a:ln>
          <a:noFill/>
        </a:ln>
        <a:extLst>
          <a:ext uri="{53640926-AAD7-44D8-BBD7-CCE9431645EC}">
            <a14:shadowObscured xmlns:a14="http://schemas.microsoft.com/office/drawing/2010/main"/>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atacenter\Volume_1\Dominic_m\xmd\BOQ-M%20with%20Profit%20Plan\TexasInstrument-0m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tacenter\Volume_1\ross48\Erick's%20File\cherryl_ann_patalagsa\my_files\PERSIMMON%20NORTH%20TOWER%20-%20020309\PERSIMMON%20-%20QTO%20Architectural\GFA,%20Flr%20Fin,%20Wall%20Fin,%20Waterproofing,%20Baseboard,%20Ceiling%20Fin\Persimmo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520E56A\EE%20FINA"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atacenter\Volume_1\Ross6\d\LUZ%20FILE\Projects\ANGELES%20subd\model%20228\QTO\Model%20228-takeoff04jan0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Jaa-21\my%20documents\Projects\Eton%20IT%20Project\Budget%20-%20Quezon%20Ave\backup_beloy\SLMC%20BOQ-MEPF-REV%202%20(BASE%20BID)%20co%20JFM.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atacenter\Volume_1\Dominic_m\xmd\BOQ-M%20with%20Profit%20Plan\GNF-M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Users\jojie\Desktop\jojie%202009\J&amp;J\Documents%20and%20Settings\rhli\Local%20Settings\Temporary%20Internet%20Files\OLK3\for%20warlitz\ICON%20PLAZA\BOQ-Structur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mc\ETON%20IT%20CENTER\1st%20submition%20base%20on%2020%20flrs%20pa\backup_beloy\SLMC%20BOQ-MEPF-REV%202%20(BASE%20BID)%20co%20JFM.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968A5460\finsumMaster.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54999618\finsumMaster.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6343BF30\FinsumMaster-01-03-02%20hilda.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42DC575\FinsumMaster-01-03-02%20hild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dmin\Eye%20Quotations\Eye%20Quotations\ARDANI\ARDANICORE%20-%200802'09\OPIS\CLIENTS%20FILES\LONGYUAN%20CONSTR%20GROUP%20(PHILS)%20-%200309'11\Itemized%20Cost%20Breakdown-ADB(Block)%20ORTIGAS%20-%200309'1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YE%20Quotation%202024/QTE-24-142-EM-CDO%20Malvar-Construction%20of%20New%20Offices/QTE-24-142-EM-CDO%20Malvar-Construction%20of%20New%20Offi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M"/>
      <sheetName val="BOQ"/>
      <sheetName val="NET-COST"/>
      <sheetName val="MATERIAL SHEET"/>
      <sheetName val="TABLE OF BUDGET (derive)"/>
      <sheetName val="TABLE OF BUDGET"/>
      <sheetName val="SITEEXPENSES"/>
      <sheetName val="TABLE OF BUDGET (E-M)"/>
      <sheetName val="STAFFSCHED "/>
      <sheetName val="MATERIAL_SHEET"/>
      <sheetName val="TABLE_OF_BUDGET_(derive)"/>
      <sheetName val="TABLE_OF_BUDGET"/>
      <sheetName val="TABLE_OF_BUDGET_(E-M)"/>
      <sheetName val="일위집계표"/>
      <sheetName val="STAFFSCHED_"/>
      <sheetName val="july"/>
      <sheetName val="細目"/>
      <sheetName val="Manpower (E)"/>
      <sheetName val="MATERIAL_SHEET1"/>
      <sheetName val="TABLE_OF_BUDGET_(derive)1"/>
      <sheetName val="TABLE_OF_BUDGET1"/>
      <sheetName val="TABLE_OF_BUDGET_(E-M)1"/>
      <sheetName val="STAFFSCHED_1"/>
      <sheetName val="Manpower_(E)"/>
      <sheetName val="負荷集計（断熱不燃）"/>
      <sheetName val="Cover (x)"/>
      <sheetName val="Cor Apt"/>
      <sheetName val="Bahan"/>
      <sheetName val="BUMP"/>
      <sheetName val="BOQ-M.Net"/>
      <sheetName val="MATERIAL_SHEET2"/>
      <sheetName val="TABLE_OF_BUDGET_(derive)2"/>
      <sheetName val="TABLE_OF_BUDGET2"/>
      <sheetName val="TABLE_OF_BUDGET_(E-M)2"/>
      <sheetName val="STAFFSCHED_2"/>
      <sheetName val="Manpower_(E)1"/>
      <sheetName val="Cover_(x)"/>
      <sheetName val="Cor_Apt"/>
      <sheetName val="BOQ-M_Net"/>
      <sheetName val="Ａ表"/>
      <sheetName val="37P5-2"/>
      <sheetName val="SEX"/>
    </sheetNames>
    <sheetDataSet>
      <sheetData sheetId="0" refreshError="1"/>
      <sheetData sheetId="1"/>
      <sheetData sheetId="2"/>
      <sheetData sheetId="3"/>
      <sheetData sheetId="4"/>
      <sheetData sheetId="5"/>
      <sheetData sheetId="6"/>
      <sheetData sheetId="7"/>
      <sheetData sheetId="8" refreshError="1"/>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ditions"/>
      <sheetName val="openings"/>
      <sheetName val="07"/>
      <sheetName val="09"/>
      <sheetName val="CSA format-Summary"/>
      <sheetName val="GFA"/>
      <sheetName val="DETAILS"/>
      <sheetName val="FF summary"/>
      <sheetName val="WF summary"/>
      <sheetName val="WP summary"/>
      <sheetName val="BB summary"/>
      <sheetName val="CF summary"/>
      <sheetName val="FE stairs"/>
      <sheetName val="heights"/>
      <sheetName val="Navigation Page"/>
      <sheetName val="rates"/>
      <sheetName val="CSA_format-Summary"/>
      <sheetName val="FF_summary"/>
      <sheetName val="WF_summary"/>
      <sheetName val="WP_summary"/>
      <sheetName val="BB_summary"/>
      <sheetName val="CF_summary"/>
      <sheetName val="FE_stairs"/>
      <sheetName val="Navigation_Page"/>
      <sheetName val="MATERIAL'S PRICE"/>
      <sheetName val="UTILITIES"/>
      <sheetName val="Summary (overall)"/>
      <sheetName val="Code 02"/>
      <sheetName val="Code 03"/>
      <sheetName val="Code 04"/>
      <sheetName val="Code 05"/>
      <sheetName val="Code 06"/>
      <sheetName val="Code 07"/>
      <sheetName val="Code 09"/>
      <sheetName val="BOQ "/>
      <sheetName val="RSB_RATIO"/>
      <sheetName val="cf-var"/>
      <sheetName val="CSA_format-Summary1"/>
      <sheetName val="FF_summary1"/>
      <sheetName val="WF_summary1"/>
      <sheetName val="WP_summary1"/>
      <sheetName val="BB_summary1"/>
      <sheetName val="CF_summary1"/>
      <sheetName val="FE_stairs1"/>
      <sheetName val="Navigation_Page1"/>
      <sheetName val="Summary_(overall)"/>
      <sheetName val="MATERIAL'S_PRICE"/>
      <sheetName val="parameters"/>
      <sheetName val="DPA_CIP"/>
      <sheetName val="COST BREAKDOWN"/>
      <sheetName val="DPA concrete"/>
      <sheetName val="BID BREAKDOWN"/>
      <sheetName val="DPA metal"/>
      <sheetName val="Derive"/>
      <sheetName val="barchart"/>
      <sheetName val="LABOR"/>
      <sheetName val="Bin"/>
      <sheetName val="GRSummary"/>
      <sheetName val="Land Dev't. Ph-1"/>
      <sheetName val="EQPT"/>
      <sheetName val="5-Digit"/>
      <sheetName val="detail"/>
      <sheetName val="BOQ-SP"/>
      <sheetName val="adjustments"/>
      <sheetName val="UPA-struc"/>
      <sheetName val="Fire Suppression"/>
      <sheetName val="Manpower costs + data"/>
      <sheetName val="Dico"/>
      <sheetName val="Cover"/>
      <sheetName val="PM"/>
      <sheetName val="2.2 STAFF Scedule"/>
      <sheetName val="공사비SUM"/>
      <sheetName val="03"/>
      <sheetName val="LEGEND"/>
      <sheetName val="BD"/>
      <sheetName val="Resource Summary"/>
      <sheetName val="MATL"/>
      <sheetName val="Floor Level"/>
      <sheetName val="dervstruc"/>
      <sheetName val="bill_02 CIV. WRKS."/>
      <sheetName val="Summary"/>
      <sheetName val="CostSked"/>
      <sheetName val="Financing Schemes"/>
      <sheetName val="_Model A costs"/>
      <sheetName val="Model B costs"/>
      <sheetName val="Model C costs"/>
      <sheetName val="CSA_format-Summary2"/>
      <sheetName val="FF_summary2"/>
      <sheetName val="WF_summary2"/>
      <sheetName val="WP_summary2"/>
      <sheetName val="BB_summary2"/>
      <sheetName val="CF_summary2"/>
      <sheetName val="FE_stairs2"/>
      <sheetName val="Navigation_Page2"/>
      <sheetName val="Summary_(overall)1"/>
      <sheetName val="MATERIAL'S_PRICE1"/>
      <sheetName val="BOQ_"/>
      <sheetName val="COST_BREAKDOWN"/>
      <sheetName val="DPA_concrete"/>
      <sheetName val="BID_BREAKDOWN"/>
      <sheetName val="DPA_metal"/>
      <sheetName val="Code_02"/>
      <sheetName val="Code_03"/>
      <sheetName val="Code_04"/>
      <sheetName val="Code_05"/>
      <sheetName val="Code_06"/>
      <sheetName val="Code_07"/>
      <sheetName val="Code_09"/>
      <sheetName val="Bill#05 Amenities (5F)"/>
      <sheetName val="Bill#02 Basement"/>
      <sheetName val="Bill#07 Common Area"/>
      <sheetName val="Bill#03 GF"/>
      <sheetName val="Bill#04 Podium"/>
      <sheetName val="Bill#06 Residential Tower"/>
      <sheetName val="GAE8'97"/>
      <sheetName val="Entrance (C)"/>
      <sheetName val="Exc for C&amp;C (A1-9)"/>
      <sheetName val="schedule"/>
      <sheetName val="factors"/>
      <sheetName val="SCHEDULE (priority)"/>
      <sheetName val="Budget Summary"/>
      <sheetName val="Sched of Rates"/>
      <sheetName val="Lookup"/>
      <sheetName val="sonditions"/>
      <sheetName val="spenings"/>
      <sheetName val="prices"/>
      <sheetName val="Account Summary"/>
      <sheetName val="Workbook Inputs"/>
      <sheetName val="FX Inputs"/>
      <sheetName val="Assumptions"/>
      <sheetName val="Existing PC Pavement"/>
      <sheetName val="Subgrade"/>
      <sheetName val="Sheet1"/>
      <sheetName val="Recovered_Sheet1"/>
      <sheetName val="Sheet3"/>
      <sheetName val="DESC"/>
      <sheetName val="Fire_Suppression"/>
      <sheetName val="P1260Projected.5700 Detail"/>
      <sheetName val="P852.5000 Detail"/>
      <sheetName val="P854.5000 Detail"/>
      <sheetName val="P856.5000 Detail"/>
      <sheetName val="P858.5000 Detail"/>
      <sheetName val="P860Baseline.5000 Detail"/>
      <sheetName val="bar chart-rev"/>
      <sheetName val="Matls"/>
      <sheetName val="BOQ (typ-accent)"/>
      <sheetName val="PH 5"/>
      <sheetName val="Stl-B"/>
      <sheetName val="csb(11-12,0820)"/>
      <sheetName val="Electrical Pricelist"/>
      <sheetName val="PBS"/>
      <sheetName val="Analysis"/>
      <sheetName val="10현장조직"/>
      <sheetName val="간접비 총괄표"/>
      <sheetName val="eqpmt"/>
      <sheetName val="take-off(planswift)"/>
      <sheetName val="Schedule 2 and 3"/>
      <sheetName val="Cost Calc"/>
      <sheetName val="UPA"/>
      <sheetName val="Equipment_Database"/>
      <sheetName val="Labor_Database"/>
      <sheetName val="Material_Database"/>
      <sheetName val="Det_Des"/>
      <sheetName val="EAST TOWER"/>
      <sheetName val="600(3)a"/>
      <sheetName val="Cast_in(Appendix_C)"/>
      <sheetName val="data"/>
      <sheetName val="co-no.2"/>
      <sheetName val="labor_range"/>
      <sheetName val="MU "/>
      <sheetName val="SHL"/>
      <sheetName val="Arch"/>
      <sheetName val="BOQ"/>
      <sheetName val="Plumbing"/>
      <sheetName val="gencon-office (Bill 3)"/>
      <sheetName val="gencon-promenade (Bill 4)"/>
      <sheetName val="COMPARATIVE SUMMARY"/>
      <sheetName val="Schedule S-Curve Revision#3"/>
      <sheetName val="Derivation"/>
      <sheetName val="Adimi bldg"/>
      <sheetName val="Pump House"/>
      <sheetName val="Fuel Regu Station"/>
      <sheetName val="Parking finish"/>
      <sheetName val="volume(PArking)"/>
      <sheetName val="Spine Road"/>
      <sheetName val="GEN REQ"/>
      <sheetName val="SD and START UP"/>
      <sheetName val="afis"/>
      <sheetName val="Mech SOR Comparison  "/>
      <sheetName val="lookups"/>
      <sheetName val="ref"/>
      <sheetName val="spreadsheet"/>
      <sheetName val="Candy (Alternate)"/>
      <sheetName val="Candy(on)"/>
      <sheetName val="Bill of Materials"/>
      <sheetName val="Schedule S-Curve (new scheme)"/>
      <sheetName val="Persimmon"/>
      <sheetName val="BM"/>
      <sheetName val="UC"/>
      <sheetName val="PL Plumbing"/>
      <sheetName val="pricelist"/>
      <sheetName val="dayworksrates"/>
      <sheetName val="CFA"/>
      <sheetName val="MU1"/>
      <sheetName val="Civilwks.Deriv"/>
      <sheetName val="Str.Deriv"/>
      <sheetName val="BOQ-MAPLE(a) (2)"/>
      <sheetName val="BOQ-MAPLE(c)"/>
      <sheetName val="Collection SUM"/>
      <sheetName val="Material Cost"/>
      <sheetName val="Rebars"/>
      <sheetName val="ceiling"/>
      <sheetName val="interior"/>
      <sheetName val="FINAL NEGO"/>
      <sheetName val="DISCUSSION"/>
      <sheetName val="SIGN-OFF"/>
      <sheetName val="Sheet1 (2)"/>
      <sheetName val="삼성전기"/>
      <sheetName val="주식"/>
      <sheetName val="AREA"/>
      <sheetName val="TABULATION (2)"/>
      <sheetName val="ABSTRACT"/>
      <sheetName val="bridge # 1"/>
      <sheetName val="UPA-Masonry"/>
      <sheetName val="bid price schedule"/>
      <sheetName val="CPA_EQP"/>
      <sheetName val="proj description final"/>
      <sheetName val="GMQ"/>
      <sheetName val="BOQ1"/>
      <sheetName val="NSC"/>
      <sheetName val="PRELIMS"/>
      <sheetName val="S-Curve"/>
      <sheetName val="Change Order Log"/>
      <sheetName val="breakdown"/>
      <sheetName val="structural"/>
      <sheetName val="architectutal"/>
      <sheetName val="Bill Summary of Costs"/>
      <sheetName val="revised#1"/>
      <sheetName val="Others"/>
      <sheetName val="sum mdc"/>
      <sheetName val="2.223M_due to adj profit"/>
      <sheetName val="4-Lane bridge"/>
      <sheetName val="Hac.Lots"/>
      <sheetName val="Res.Lots"/>
      <sheetName val="bill 3 -bpo2"/>
      <sheetName val="bill 3 -bpo1"/>
      <sheetName val="bill 2 -retail"/>
      <sheetName val="jan"/>
      <sheetName val="DESBASTE"/>
      <sheetName val="BOQ-TPSR"/>
      <sheetName val="상반기손익차2총괄"/>
      <sheetName val="INPUT DATA HERE"/>
      <sheetName val="mat'ls"/>
      <sheetName val="hauling"/>
    </sheetNames>
    <sheetDataSet>
      <sheetData sheetId="0" refreshError="1">
        <row r="1">
          <cell r="A1" t="str">
            <v>yes</v>
          </cell>
        </row>
        <row r="2">
          <cell r="A2" t="str">
            <v>no</v>
          </cell>
        </row>
      </sheetData>
      <sheetData sheetId="1" refreshError="1">
        <row r="2">
          <cell r="C2" t="str">
            <v>GD-01</v>
          </cell>
        </row>
        <row r="3">
          <cell r="C3" t="str">
            <v>GD-02</v>
          </cell>
        </row>
        <row r="4">
          <cell r="C4" t="str">
            <v>GD-03</v>
          </cell>
        </row>
        <row r="5">
          <cell r="C5" t="str">
            <v>GD-04</v>
          </cell>
        </row>
        <row r="6">
          <cell r="C6" t="str">
            <v>L-1</v>
          </cell>
        </row>
        <row r="7">
          <cell r="C7" t="str">
            <v>L-10</v>
          </cell>
        </row>
        <row r="8">
          <cell r="C8" t="str">
            <v>L-11</v>
          </cell>
        </row>
        <row r="9">
          <cell r="C9" t="str">
            <v>L-12</v>
          </cell>
        </row>
        <row r="10">
          <cell r="C10" t="str">
            <v>L-2</v>
          </cell>
        </row>
        <row r="11">
          <cell r="C11" t="str">
            <v>L-3</v>
          </cell>
        </row>
        <row r="12">
          <cell r="C12" t="str">
            <v>L-4</v>
          </cell>
        </row>
        <row r="13">
          <cell r="C13" t="str">
            <v>L-5</v>
          </cell>
        </row>
        <row r="14">
          <cell r="C14" t="str">
            <v>L-6</v>
          </cell>
        </row>
        <row r="15">
          <cell r="C15" t="str">
            <v>L-7</v>
          </cell>
        </row>
        <row r="16">
          <cell r="C16" t="str">
            <v>L-8</v>
          </cell>
        </row>
        <row r="17">
          <cell r="C17" t="str">
            <v>L-9</v>
          </cell>
        </row>
        <row r="18">
          <cell r="C18" t="str">
            <v>SD-01</v>
          </cell>
        </row>
        <row r="19">
          <cell r="C19" t="str">
            <v>SD-02</v>
          </cell>
        </row>
        <row r="20">
          <cell r="C20" t="str">
            <v>SD-03</v>
          </cell>
        </row>
        <row r="21">
          <cell r="C21" t="str">
            <v>SD-04</v>
          </cell>
        </row>
        <row r="22">
          <cell r="C22" t="str">
            <v>SD-04a</v>
          </cell>
        </row>
        <row r="23">
          <cell r="C23" t="str">
            <v>SD-05</v>
          </cell>
        </row>
        <row r="24">
          <cell r="C24" t="str">
            <v>SD-06</v>
          </cell>
        </row>
        <row r="25">
          <cell r="C25" t="str">
            <v>SD-07</v>
          </cell>
        </row>
        <row r="26">
          <cell r="C26" t="str">
            <v>SD-08</v>
          </cell>
        </row>
        <row r="27">
          <cell r="C27" t="str">
            <v>SD-08a</v>
          </cell>
        </row>
        <row r="28">
          <cell r="C28" t="str">
            <v>SD-09</v>
          </cell>
        </row>
        <row r="29">
          <cell r="C29" t="str">
            <v>W-10a</v>
          </cell>
        </row>
        <row r="30">
          <cell r="C30" t="str">
            <v>W-10b</v>
          </cell>
        </row>
        <row r="31">
          <cell r="C31" t="str">
            <v>W-11</v>
          </cell>
        </row>
        <row r="32">
          <cell r="C32" t="str">
            <v>W-12</v>
          </cell>
        </row>
        <row r="33">
          <cell r="C33" t="str">
            <v>W-13</v>
          </cell>
        </row>
        <row r="34">
          <cell r="C34" t="str">
            <v>W-14</v>
          </cell>
        </row>
        <row r="35">
          <cell r="C35" t="str">
            <v>W-15</v>
          </cell>
        </row>
        <row r="36">
          <cell r="C36" t="str">
            <v>W-16</v>
          </cell>
        </row>
        <row r="37">
          <cell r="C37" t="str">
            <v>W-17</v>
          </cell>
        </row>
        <row r="38">
          <cell r="C38" t="str">
            <v>W-18</v>
          </cell>
        </row>
        <row r="39">
          <cell r="C39" t="str">
            <v>W-18a</v>
          </cell>
        </row>
        <row r="40">
          <cell r="C40" t="str">
            <v>W-19</v>
          </cell>
        </row>
        <row r="41">
          <cell r="C41" t="str">
            <v>W-1a</v>
          </cell>
        </row>
        <row r="42">
          <cell r="C42" t="str">
            <v>W-1b</v>
          </cell>
        </row>
        <row r="43">
          <cell r="C43" t="str">
            <v>W-20</v>
          </cell>
        </row>
        <row r="44">
          <cell r="C44" t="str">
            <v>W-21</v>
          </cell>
        </row>
        <row r="45">
          <cell r="C45" t="str">
            <v>W-22</v>
          </cell>
        </row>
        <row r="46">
          <cell r="C46" t="str">
            <v>W-23</v>
          </cell>
        </row>
        <row r="47">
          <cell r="C47" t="str">
            <v>W-24</v>
          </cell>
        </row>
        <row r="48">
          <cell r="C48" t="str">
            <v>W-25</v>
          </cell>
        </row>
        <row r="49">
          <cell r="C49" t="str">
            <v>W-26</v>
          </cell>
        </row>
        <row r="50">
          <cell r="C50" t="str">
            <v>W-2a</v>
          </cell>
        </row>
        <row r="51">
          <cell r="C51" t="str">
            <v>W-2b</v>
          </cell>
        </row>
        <row r="52">
          <cell r="C52" t="str">
            <v>W-3</v>
          </cell>
        </row>
        <row r="53">
          <cell r="C53" t="str">
            <v>W-4</v>
          </cell>
        </row>
        <row r="54">
          <cell r="C54" t="str">
            <v>W-5</v>
          </cell>
        </row>
        <row r="55">
          <cell r="C55" t="str">
            <v>W-6</v>
          </cell>
        </row>
        <row r="56">
          <cell r="C56" t="str">
            <v>W-7</v>
          </cell>
        </row>
        <row r="57">
          <cell r="C57" t="str">
            <v>W-8</v>
          </cell>
        </row>
        <row r="58">
          <cell r="C58" t="str">
            <v>WD-01</v>
          </cell>
        </row>
        <row r="59">
          <cell r="C59" t="str">
            <v>WD-02</v>
          </cell>
        </row>
        <row r="60">
          <cell r="C60" t="str">
            <v>WD-03</v>
          </cell>
        </row>
        <row r="61">
          <cell r="C61" t="str">
            <v>WD-04</v>
          </cell>
        </row>
        <row r="62">
          <cell r="C62" t="str">
            <v>WD-05</v>
          </cell>
        </row>
        <row r="63">
          <cell r="C63" t="str">
            <v>WD-06</v>
          </cell>
        </row>
        <row r="64">
          <cell r="C64" t="str">
            <v>WD-07</v>
          </cell>
        </row>
        <row r="65">
          <cell r="C65" t="str">
            <v>WD-07a</v>
          </cell>
        </row>
        <row r="66">
          <cell r="C66" t="str">
            <v>WD-07b</v>
          </cell>
        </row>
        <row r="67">
          <cell r="C67" t="str">
            <v>WD-08</v>
          </cell>
        </row>
        <row r="68">
          <cell r="C68" t="str">
            <v>WD-09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refreshError="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ummary (2)"/>
      <sheetName val="EE FINA"/>
      <sheetName val="conditions"/>
      <sheetName val="openings"/>
      <sheetName val="schedule"/>
      <sheetName val="INPUT DATA HERE"/>
      <sheetName val="bms"/>
      <sheetName val="sus slb"/>
      <sheetName val="col"/>
      <sheetName val="shr wll"/>
      <sheetName val="ftg"/>
      <sheetName val="wll ftg"/>
      <sheetName val="ht"/>
      <sheetName val="notes"/>
      <sheetName val="mat"/>
      <sheetName val="ret wll ftg"/>
      <sheetName val="Factor"/>
      <sheetName val="LIBRARY"/>
      <sheetName val="Pantalla plastica"/>
      <sheetName val="DC01"/>
      <sheetName val="Subgrade"/>
      <sheetName val="factors"/>
      <sheetName val="Adimi bldg"/>
      <sheetName val="Pump House"/>
      <sheetName val="Fuel Regu Station"/>
      <sheetName val="MATERIAL'S PRICE"/>
      <sheetName val="UTILITIES"/>
      <sheetName val="tabulation (comparison)"/>
      <sheetName val="AROMIN"/>
      <sheetName val="Summary_(2)"/>
      <sheetName val="tabulation_(comparison)"/>
      <sheetName val="MATERIAL'S_PRICE"/>
      <sheetName val="THISWORKSHEET"/>
      <sheetName val="Bin"/>
      <sheetName val="PL Plumbing"/>
      <sheetName val="EE_FINA"/>
      <sheetName val="INPUT_DATA_HERE"/>
      <sheetName val="sus_slb"/>
      <sheetName val="shr_wll"/>
      <sheetName val="wll_ftg"/>
      <sheetName val="ret_wll_ftg"/>
      <sheetName val="Adimi_bldg"/>
      <sheetName val="Pump_House"/>
      <sheetName val="Fuel_Regu_Station"/>
      <sheetName val="Pantalla_plastica"/>
      <sheetName val="Civil Works"/>
      <sheetName val="BOQ"/>
      <sheetName val="CPA_EQP"/>
      <sheetName val="PH 5"/>
      <sheetName val="Updated table"/>
      <sheetName val="schedule-A"/>
      <sheetName val="Masonry"/>
      <sheetName val="Concrete"/>
      <sheetName val="203 Eqpt r1"/>
      <sheetName val="Civilwks.Deriv"/>
      <sheetName val="Str.Deriv"/>
      <sheetName val=" Bill of Quantities.Mechanical."/>
      <sheetName val="Testing"/>
      <sheetName val="Summary (overall)"/>
      <sheetName val="MR2"/>
      <sheetName val="BOQ "/>
      <sheetName val="RSB_RATIO"/>
      <sheetName val="EAST TOWER"/>
      <sheetName val="budget.ytd"/>
      <sheetName val="str. deriv"/>
      <sheetName val="Data"/>
      <sheetName val="gen notes"/>
      <sheetName val="rc wall"/>
      <sheetName val="ret wll"/>
      <sheetName val="slb on grd"/>
      <sheetName val="sus stair"/>
      <sheetName val="str on grd"/>
      <sheetName val="삼성전기"/>
      <sheetName val="주식"/>
      <sheetName val="Sheet1 (2)"/>
      <sheetName val="Bill#05 Amenities (5F)"/>
      <sheetName val="Bill#02 Basement"/>
      <sheetName val="Bill#07 Common Area"/>
      <sheetName val="Bill#03 GF"/>
      <sheetName val="Bill#04 Podium"/>
      <sheetName val="Bill#06 Residential Tower"/>
      <sheetName val="Matls"/>
      <sheetName val="Labor"/>
      <sheetName val="SCHEDULE (priority)"/>
      <sheetName val="BM"/>
      <sheetName val="Site Construction"/>
      <sheetName val="5-Digit"/>
      <sheetName val="PH_5"/>
      <sheetName val="Rev.2"/>
      <sheetName val="basis of rates_derivation"/>
      <sheetName val="revised#1"/>
      <sheetName val="genre"/>
      <sheetName val="take-off(planswift)"/>
      <sheetName val="bridge # 1"/>
      <sheetName val="DERIV"/>
      <sheetName val="Code03"/>
      <sheetName val="Code05"/>
      <sheetName val="PARA"/>
      <sheetName val="Others"/>
      <sheetName val="sum mdc"/>
      <sheetName val="ALL"/>
      <sheetName val="CIM"/>
      <sheetName val="SITE DEV,T"/>
      <sheetName val="MATL"/>
      <sheetName val="option Y1"/>
      <sheetName val="Sheet1"/>
      <sheetName val="Land Dev't. Ph-1"/>
      <sheetName val="equipment"/>
      <sheetName val="prelims"/>
      <sheetName val="Bid Form A-2"/>
      <sheetName val="prices"/>
      <sheetName val="bar chart-rev"/>
      <sheetName val="Sheet3"/>
      <sheetName val="P1260Projected.5700 Detail"/>
      <sheetName val="P852.5000 Detail"/>
      <sheetName val="P854.5000 Detail"/>
      <sheetName val="P856.5000 Detail"/>
      <sheetName val="P858.5000 Detail"/>
      <sheetName val="P860Baseline.5000 Detail"/>
      <sheetName val="SORTED"/>
      <sheetName val="Installation"/>
      <sheetName val="temporary power ob"/>
      <sheetName val="reference"/>
      <sheetName val="building permit"/>
      <sheetName val="guardhouse ob"/>
      <sheetName val="subcon sched"/>
      <sheetName val="Equip"/>
      <sheetName val="GAE8'97"/>
      <sheetName val="Navigation Page"/>
      <sheetName val="Analysis"/>
      <sheetName val="Shut down"/>
      <sheetName val="Building"/>
      <sheetName val="Code 02"/>
      <sheetName val="Code 03"/>
      <sheetName val="Code 04"/>
      <sheetName val="Code 05"/>
      <sheetName val="Code 06"/>
      <sheetName val="Code 07"/>
      <sheetName val="Code 09"/>
      <sheetName val="BALAN1"/>
      <sheetName val="SOURCE"/>
      <sheetName val="Roon matrix"/>
      <sheetName val="Manpower costs + data"/>
      <sheetName val="MU"/>
      <sheetName val="TITLEC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
      <sheetName val="SUM"/>
      <sheetName val="04"/>
      <sheetName val="05"/>
      <sheetName val="7"/>
      <sheetName val="31"/>
      <sheetName val="masonry"/>
      <sheetName val="roofing"/>
      <sheetName val="ceiling"/>
      <sheetName val="wall"/>
      <sheetName val="floor finishes"/>
      <sheetName val="Finishes(rev)"/>
      <sheetName val="baseboard@cornice"/>
      <sheetName val="lintel etc"/>
      <sheetName val="stair"/>
      <sheetName val="01"/>
      <sheetName val="Presidential Suite"/>
      <sheetName val="PS - Openings and Finishes "/>
      <sheetName val="PS - Furnishings &amp; Specialties "/>
      <sheetName val="Suite ES2 - Level 15-20"/>
      <sheetName val="ES2 - Openings &amp; Finishes"/>
      <sheetName val="ES2 - Furnishings &amp; Specialties"/>
      <sheetName val="Junior Suite 1 - Summary"/>
      <sheetName val="JS1 - Opening &amp; Finishes"/>
      <sheetName val="JS1 Furnishings &amp; Specialties"/>
      <sheetName val="SUITE - TYPE ES1 (Rm 25)"/>
      <sheetName val="ES1 Openings &amp; Finishings"/>
      <sheetName val="ES1 Furnishings &amp; Specialties"/>
      <sheetName val="10"/>
      <sheetName val="31 (2)"/>
      <sheetName val="Model 228-takeoff04jan07"/>
      <sheetName val="Summary"/>
      <sheetName val="242-3 summaryOPC"/>
      <sheetName val="BREAKDOWN"/>
      <sheetName val="GRSummary"/>
      <sheetName val="floor_finishes"/>
      <sheetName val="lintel_etc"/>
      <sheetName val="Presidential_Suite"/>
      <sheetName val="PS_-_Openings_and_Finishes_"/>
      <sheetName val="PS_-_Furnishings_&amp;_Specialties_"/>
      <sheetName val="Suite_ES2_-_Level_15-20"/>
      <sheetName val="ES2_-_Openings_&amp;_Finishes"/>
      <sheetName val="ES2_-_Furnishings_&amp;_Specialties"/>
      <sheetName val="Junior_Suite_1_-_Summary"/>
      <sheetName val="JS1_-_Opening_&amp;_Finishes"/>
      <sheetName val="JS1_Furnishings_&amp;_Specialties"/>
      <sheetName val="SUITE_-_TYPE_ES1_(Rm_25)"/>
      <sheetName val="ES1_Openings_&amp;_Finishings"/>
      <sheetName val="ES1_Furnishings_&amp;_Specialties"/>
      <sheetName val="31_(2)"/>
      <sheetName val="Model_228-takeoff04jan07"/>
      <sheetName val="floor_finishes1"/>
      <sheetName val="lintel_etc1"/>
      <sheetName val="Presidential_Suite1"/>
      <sheetName val="PS_-_Openings_and_Finishes_1"/>
      <sheetName val="PS_-_Furnishings_&amp;_Specialties1"/>
      <sheetName val="Suite_ES2_-_Level_15-201"/>
      <sheetName val="ES2_-_Openings_&amp;_Finishes1"/>
      <sheetName val="ES2_-_Furnishings_&amp;_Specialtie1"/>
      <sheetName val="Junior_Suite_1_-_Summary1"/>
      <sheetName val="JS1_-_Opening_&amp;_Finishes1"/>
      <sheetName val="JS1_Furnishings_&amp;_Specialties1"/>
      <sheetName val="SUITE_-_TYPE_ES1_(Rm_25)1"/>
      <sheetName val="ES1_Openings_&amp;_Finishings1"/>
      <sheetName val="ES1_Furnishings_&amp;_Specialties1"/>
      <sheetName val="31_(2)1"/>
      <sheetName val="Model_228-takeoff04jan071"/>
      <sheetName val="conditions"/>
      <sheetName val="openings"/>
      <sheetName val="Sheet4"/>
      <sheetName val=""/>
      <sheetName val="내역"/>
      <sheetName val="Element J (2)"/>
      <sheetName val="subcon sched"/>
      <sheetName val="PH 5"/>
      <sheetName val="ref"/>
      <sheetName val="lookups"/>
      <sheetName val="OPT1"/>
      <sheetName val="Bid Evaluation"/>
      <sheetName val="Bill3-Basement"/>
      <sheetName val="EQUIPMENT"/>
      <sheetName val="Rental Rates"/>
      <sheetName val="DPA concrete"/>
      <sheetName val="DPA_CIP"/>
      <sheetName val="Bid Breakdown"/>
      <sheetName val="Labor Rates"/>
      <sheetName val="DPA thermal"/>
      <sheetName val="BOQ"/>
      <sheetName val="Bin"/>
      <sheetName val="Summary-Actual"/>
      <sheetName val="MU1"/>
      <sheetName val="COST BREAKDOWN"/>
      <sheetName val="9.1"/>
      <sheetName val="BLDG4"/>
      <sheetName val="schedule"/>
      <sheetName val="Data Validation"/>
      <sheetName val="Mech SOR Comparison  "/>
      <sheetName val="NOTES"/>
      <sheetName val="data"/>
      <sheetName val="factors"/>
      <sheetName val="LABCOST"/>
      <sheetName val="Sheet1"/>
      <sheetName val="BM-Substructure"/>
      <sheetName val="BM-Stairs"/>
      <sheetName val="BM-Floor Fin"/>
      <sheetName val="BM"/>
      <sheetName val="INPUT DATA HERE"/>
      <sheetName val="Shut down"/>
      <sheetName val="Building"/>
      <sheetName val="LIBRARY"/>
      <sheetName val="Cost Monitoring Report"/>
      <sheetName val="Cost Code"/>
      <sheetName val="draft"/>
      <sheetName val="DON GIA TRAM (3)"/>
      <sheetName val="Suppliers"/>
      <sheetName val="Civilwks.Deriv"/>
      <sheetName val="Str.Deriv"/>
      <sheetName val="floor_finishes2"/>
      <sheetName val="lintel_etc2"/>
      <sheetName val="Presidential_Suite2"/>
      <sheetName val="PS_-_Openings_and_Finishes_2"/>
      <sheetName val="PS_-_Furnishings_&amp;_Specialties2"/>
      <sheetName val="Suite_ES2_-_Level_15-202"/>
      <sheetName val="ES2_-_Openings_&amp;_Finishes2"/>
      <sheetName val="ES2_-_Furnishings_&amp;_Specialtie2"/>
      <sheetName val="Junior_Suite_1_-_Summary2"/>
      <sheetName val="JS1_-_Opening_&amp;_Finishes2"/>
      <sheetName val="JS1_Furnishings_&amp;_Specialties2"/>
      <sheetName val="SUITE_-_TYPE_ES1_(Rm_25)2"/>
      <sheetName val="ES1_Openings_&amp;_Finishings2"/>
      <sheetName val="ES1_Furnishings_&amp;_Specialties2"/>
      <sheetName val="31_(2)2"/>
      <sheetName val="Model_228-takeoff04jan072"/>
      <sheetName val="242-3_summaryOPC"/>
      <sheetName val="Element_J_(2)"/>
      <sheetName val="subcon_sched"/>
      <sheetName val="PH_5"/>
      <sheetName val="Bid_Evaluation"/>
      <sheetName val="Rental_Rates"/>
      <sheetName val="DPA_concrete"/>
      <sheetName val="Bid_Breakdown"/>
      <sheetName val="Labor_Rates"/>
      <sheetName val="DPA_thermal"/>
      <sheetName val="9_1"/>
      <sheetName val="COST_BREAKDOWN"/>
      <sheetName val="floor_finishes3"/>
      <sheetName val="lintel_etc3"/>
      <sheetName val="Presidential_Suite3"/>
      <sheetName val="PS_-_Openings_and_Finishes_3"/>
      <sheetName val="PS_-_Furnishings_&amp;_Specialties3"/>
      <sheetName val="Suite_ES2_-_Level_15-203"/>
      <sheetName val="ES2_-_Openings_&amp;_Finishes3"/>
      <sheetName val="ES2_-_Furnishings_&amp;_Specialtie3"/>
      <sheetName val="Junior_Suite_1_-_Summary3"/>
      <sheetName val="JS1_-_Opening_&amp;_Finishes3"/>
      <sheetName val="JS1_Furnishings_&amp;_Specialties3"/>
      <sheetName val="SUITE_-_TYPE_ES1_(Rm_25)3"/>
      <sheetName val="ES1_Openings_&amp;_Finishings3"/>
      <sheetName val="ES1_Furnishings_&amp;_Specialties3"/>
      <sheetName val="31_(2)3"/>
      <sheetName val="Model_228-takeoff04jan073"/>
      <sheetName val="242-3_summaryOPC1"/>
      <sheetName val="subcon_sched1"/>
      <sheetName val="Element_J_(2)1"/>
      <sheetName val="PH_51"/>
      <sheetName val="Bid_Evaluation1"/>
      <sheetName val="Rental_Rates1"/>
      <sheetName val="DPA_concrete1"/>
      <sheetName val="Bid_Breakdown1"/>
      <sheetName val="Labor_Rates1"/>
      <sheetName val="DPA_thermal1"/>
      <sheetName val="9_11"/>
      <sheetName val="COST_BREAKDOWN1"/>
      <sheetName val="floor_finishes4"/>
      <sheetName val="lintel_etc4"/>
      <sheetName val="Presidential_Suite4"/>
      <sheetName val="PS_-_Openings_and_Finishes_4"/>
      <sheetName val="PS_-_Furnishings_&amp;_Specialties4"/>
      <sheetName val="Suite_ES2_-_Level_15-204"/>
      <sheetName val="ES2_-_Openings_&amp;_Finishes4"/>
      <sheetName val="ES2_-_Furnishings_&amp;_Specialtie4"/>
      <sheetName val="Junior_Suite_1_-_Summary4"/>
      <sheetName val="JS1_-_Opening_&amp;_Finishes4"/>
      <sheetName val="JS1_Furnishings_&amp;_Specialties4"/>
      <sheetName val="SUITE_-_TYPE_ES1_(Rm_25)4"/>
      <sheetName val="ES1_Openings_&amp;_Finishings4"/>
      <sheetName val="ES1_Furnishings_&amp;_Specialties4"/>
      <sheetName val="31_(2)4"/>
      <sheetName val="Model_228-takeoff04jan074"/>
      <sheetName val="242-3_summaryOPC2"/>
      <sheetName val="subcon_sched2"/>
      <sheetName val="Element_J_(2)2"/>
      <sheetName val="PH_52"/>
      <sheetName val="Rental_Rates2"/>
      <sheetName val="DPA_concrete2"/>
      <sheetName val="Bid_Breakdown2"/>
      <sheetName val="Labor_Rates2"/>
      <sheetName val="DPA_thermal2"/>
      <sheetName val="Bid_Evaluation2"/>
      <sheetName val="COST_BREAKDOWN2"/>
      <sheetName val="Data_Validation"/>
      <sheetName val="9_12"/>
      <sheetName val="floor_finishes5"/>
      <sheetName val="lintel_etc5"/>
      <sheetName val="Presidential_Suite5"/>
      <sheetName val="PS_-_Openings_and_Finishes_5"/>
      <sheetName val="PS_-_Furnishings_&amp;_Specialties5"/>
      <sheetName val="Suite_ES2_-_Level_15-205"/>
      <sheetName val="ES2_-_Openings_&amp;_Finishes5"/>
      <sheetName val="ES2_-_Furnishings_&amp;_Specialtie5"/>
      <sheetName val="Junior_Suite_1_-_Summary5"/>
      <sheetName val="JS1_-_Opening_&amp;_Finishes5"/>
      <sheetName val="JS1_Furnishings_&amp;_Specialties5"/>
      <sheetName val="SUITE_-_TYPE_ES1_(Rm_25)5"/>
      <sheetName val="ES1_Openings_&amp;_Finishings5"/>
      <sheetName val="ES1_Furnishings_&amp;_Specialties5"/>
      <sheetName val="31_(2)5"/>
      <sheetName val="Model_228-takeoff04jan075"/>
      <sheetName val="242-3_summaryOPC3"/>
      <sheetName val="Element_J_(2)3"/>
      <sheetName val="subcon_sched3"/>
      <sheetName val="PH_53"/>
      <sheetName val="Bid_Evaluation3"/>
      <sheetName val="Rental_Rates3"/>
      <sheetName val="DPA_concrete3"/>
      <sheetName val="Bid_Breakdown3"/>
      <sheetName val="Labor_Rates3"/>
      <sheetName val="DPA_thermal3"/>
      <sheetName val="9_13"/>
      <sheetName val="COST_BREAKDOWN3"/>
      <sheetName val="floor_finishes6"/>
      <sheetName val="lintel_etc6"/>
      <sheetName val="Presidential_Suite6"/>
      <sheetName val="PS_-_Openings_and_Finishes_6"/>
      <sheetName val="PS_-_Furnishings_&amp;_Specialties6"/>
      <sheetName val="Suite_ES2_-_Level_15-206"/>
      <sheetName val="ES2_-_Openings_&amp;_Finishes6"/>
      <sheetName val="ES2_-_Furnishings_&amp;_Specialtie6"/>
      <sheetName val="Junior_Suite_1_-_Summary6"/>
      <sheetName val="JS1_-_Opening_&amp;_Finishes6"/>
      <sheetName val="JS1_Furnishings_&amp;_Specialties6"/>
      <sheetName val="SUITE_-_TYPE_ES1_(Rm_25)6"/>
      <sheetName val="ES1_Openings_&amp;_Finishings6"/>
      <sheetName val="ES1_Furnishings_&amp;_Specialties6"/>
      <sheetName val="31_(2)6"/>
      <sheetName val="Model_228-takeoff04jan076"/>
      <sheetName val="242-3_summaryOPC4"/>
      <sheetName val="subcon_sched4"/>
      <sheetName val="Element_J_(2)4"/>
      <sheetName val="PH_54"/>
      <sheetName val="Bid_Evaluation4"/>
      <sheetName val="Rental_Rates4"/>
      <sheetName val="DPA_concrete4"/>
      <sheetName val="Bid_Breakdown4"/>
      <sheetName val="Labor_Rates4"/>
      <sheetName val="DPA_thermal4"/>
      <sheetName val="9_14"/>
      <sheetName val="COST_BREAKDOWN4"/>
      <sheetName val="floor_finishes7"/>
      <sheetName val="lintel_etc7"/>
      <sheetName val="Presidential_Suite7"/>
      <sheetName val="PS_-_Openings_and_Finishes_7"/>
      <sheetName val="PS_-_Furnishings_&amp;_Specialties7"/>
      <sheetName val="Suite_ES2_-_Level_15-207"/>
      <sheetName val="ES2_-_Openings_&amp;_Finishes7"/>
      <sheetName val="ES2_-_Furnishings_&amp;_Specialtie7"/>
      <sheetName val="Junior_Suite_1_-_Summary7"/>
      <sheetName val="JS1_-_Opening_&amp;_Finishes7"/>
      <sheetName val="JS1_Furnishings_&amp;_Specialties7"/>
      <sheetName val="SUITE_-_TYPE_ES1_(Rm_25)7"/>
      <sheetName val="ES1_Openings_&amp;_Finishings7"/>
      <sheetName val="ES1_Furnishings_&amp;_Specialties7"/>
      <sheetName val="31_(2)7"/>
      <sheetName val="Model_228-takeoff04jan077"/>
      <sheetName val="242-3_summaryOPC5"/>
      <sheetName val="subcon_sched5"/>
      <sheetName val="Element_J_(2)5"/>
      <sheetName val="PH_55"/>
      <sheetName val="Bid_Evaluation5"/>
      <sheetName val="Rental_Rates5"/>
      <sheetName val="DPA_concrete5"/>
      <sheetName val="Bid_Breakdown5"/>
      <sheetName val="Labor_Rates5"/>
      <sheetName val="DPA_thermal5"/>
      <sheetName val="9_15"/>
      <sheetName val="COST_BREAKDOWN5"/>
      <sheetName val="floor_finishes8"/>
      <sheetName val="lintel_etc8"/>
      <sheetName val="Presidential_Suite8"/>
      <sheetName val="PS_-_Openings_and_Finishes_8"/>
      <sheetName val="PS_-_Furnishings_&amp;_Specialties8"/>
      <sheetName val="Suite_ES2_-_Level_15-208"/>
      <sheetName val="ES2_-_Openings_&amp;_Finishes8"/>
      <sheetName val="ES2_-_Furnishings_&amp;_Specialtie8"/>
      <sheetName val="Junior_Suite_1_-_Summary8"/>
      <sheetName val="JS1_-_Opening_&amp;_Finishes8"/>
      <sheetName val="JS1_Furnishings_&amp;_Specialties8"/>
      <sheetName val="SUITE_-_TYPE_ES1_(Rm_25)8"/>
      <sheetName val="ES1_Openings_&amp;_Finishings8"/>
      <sheetName val="ES1_Furnishings_&amp;_Specialties8"/>
      <sheetName val="31_(2)8"/>
      <sheetName val="Model_228-takeoff04jan078"/>
      <sheetName val="242-3_summaryOPC6"/>
      <sheetName val="subcon_sched6"/>
      <sheetName val="Element_J_(2)6"/>
      <sheetName val="PH_56"/>
      <sheetName val="Bid_Evaluation6"/>
      <sheetName val="Rental_Rates6"/>
      <sheetName val="DPA_concrete6"/>
      <sheetName val="Bid_Breakdown6"/>
      <sheetName val="Labor_Rates6"/>
      <sheetName val="DPA_thermal6"/>
      <sheetName val="9_16"/>
      <sheetName val="COST_BREAKDOWN6"/>
      <sheetName val="floor_finishes9"/>
      <sheetName val="lintel_etc9"/>
      <sheetName val="Presidential_Suite9"/>
      <sheetName val="PS_-_Openings_and_Finishes_9"/>
      <sheetName val="PS_-_Furnishings_&amp;_Specialties9"/>
      <sheetName val="Suite_ES2_-_Level_15-209"/>
      <sheetName val="ES2_-_Openings_&amp;_Finishes9"/>
      <sheetName val="ES2_-_Furnishings_&amp;_Specialtie9"/>
      <sheetName val="Junior_Suite_1_-_Summary9"/>
      <sheetName val="JS1_-_Opening_&amp;_Finishes9"/>
      <sheetName val="JS1_Furnishings_&amp;_Specialties9"/>
      <sheetName val="SUITE_-_TYPE_ES1_(Rm_25)9"/>
      <sheetName val="ES1_Openings_&amp;_Finishings9"/>
      <sheetName val="ES1_Furnishings_&amp;_Specialties9"/>
      <sheetName val="31_(2)9"/>
      <sheetName val="Model_228-takeoff04jan079"/>
      <sheetName val="242-3_summaryOPC7"/>
      <sheetName val="subcon_sched7"/>
      <sheetName val="Element_J_(2)7"/>
      <sheetName val="PH_57"/>
      <sheetName val="Bid_Evaluation7"/>
      <sheetName val="Rental_Rates7"/>
      <sheetName val="DPA_concrete7"/>
      <sheetName val="Bid_Breakdown7"/>
      <sheetName val="Labor_Rates7"/>
      <sheetName val="DPA_thermal7"/>
      <sheetName val="9_17"/>
      <sheetName val="COST_BREAKDOWN7"/>
      <sheetName val="Data_Validation1"/>
      <sheetName val="floor_finishes10"/>
      <sheetName val="lintel_etc10"/>
      <sheetName val="Presidential_Suite10"/>
      <sheetName val="PS_-_Openings_and_Finishes_10"/>
      <sheetName val="PS_-_Furnishings_&amp;_Specialtie10"/>
      <sheetName val="Suite_ES2_-_Level_15-2010"/>
      <sheetName val="ES2_-_Openings_&amp;_Finishes10"/>
      <sheetName val="ES2_-_Furnishings_&amp;_Specialti10"/>
      <sheetName val="Junior_Suite_1_-_Summary10"/>
      <sheetName val="JS1_-_Opening_&amp;_Finishes10"/>
      <sheetName val="JS1_Furnishings_&amp;_Specialties10"/>
      <sheetName val="SUITE_-_TYPE_ES1_(Rm_25)10"/>
      <sheetName val="ES1_Openings_&amp;_Finishings10"/>
      <sheetName val="ES1_Furnishings_&amp;_Specialties10"/>
      <sheetName val="31_(2)10"/>
      <sheetName val="Model_228-takeoff04jan0710"/>
      <sheetName val="242-3_summaryOPC8"/>
      <sheetName val="subcon_sched8"/>
      <sheetName val="Element_J_(2)8"/>
      <sheetName val="PH_58"/>
      <sheetName val="Bid_Evaluation8"/>
      <sheetName val="Rental_Rates8"/>
      <sheetName val="DPA_concrete8"/>
      <sheetName val="Bid_Breakdown8"/>
      <sheetName val="Labor_Rates8"/>
      <sheetName val="DPA_thermal8"/>
      <sheetName val="9_18"/>
      <sheetName val="COST_BREAKDOWN8"/>
      <sheetName val="Data_Validation2"/>
      <sheetName val="Guestrooms"/>
      <sheetName val="option Y1"/>
      <sheetName val="take-off(planswift)"/>
      <sheetName val="GAE8'97"/>
      <sheetName val="CIM"/>
      <sheetName val="DEMOLITION"/>
      <sheetName val="exterior"/>
      <sheetName val="SKED"/>
      <sheetName val="QSI_Cost sheet_StaMesa"/>
      <sheetName val="prelims"/>
      <sheetName val="Bid Form A-2"/>
      <sheetName val="genre"/>
      <sheetName val="BQ_Methanol"/>
      <sheetName val="PipWT"/>
      <sheetName val="GESTION FICHE"/>
      <sheetName val="TRADUCTION LISTES"/>
      <sheetName val="Site Construction"/>
      <sheetName val="Concrete"/>
      <sheetName val="temporary power ob"/>
      <sheetName val="reference"/>
      <sheetName val="building permit"/>
      <sheetName val="guardhouse ob"/>
      <sheetName val="Matls"/>
      <sheetName val="Labor"/>
      <sheetName val="Summary Sheets"/>
      <sheetName val="Roon matrix"/>
      <sheetName val="Codes,..."/>
      <sheetName val="MTO"/>
      <sheetName val="INNER TANK"/>
      <sheetName val="IPE"/>
      <sheetName val="steel-gr"/>
      <sheetName val="Assump (Time) - Project Co."/>
      <sheetName val="8-31-98"/>
      <sheetName val="worksheet inchican"/>
      <sheetName val="combined 9-30"/>
      <sheetName val="D &amp; W sizes"/>
      <sheetName val="floor_finishes11"/>
      <sheetName val="lintel_etc11"/>
    </sheetNames>
    <sheetDataSet>
      <sheetData sheetId="0" refreshError="1">
        <row r="993">
          <cell r="E993">
            <v>16</v>
          </cell>
          <cell r="P993">
            <v>28.422000000000001</v>
          </cell>
        </row>
        <row r="994">
          <cell r="E994">
            <v>16</v>
          </cell>
          <cell r="P994">
            <v>4.4211999999999998</v>
          </cell>
        </row>
        <row r="995">
          <cell r="E995">
            <v>12</v>
          </cell>
          <cell r="P995">
            <v>3.552</v>
          </cell>
        </row>
        <row r="996">
          <cell r="P996">
            <v>3.552</v>
          </cell>
        </row>
        <row r="997">
          <cell r="E997">
            <v>16</v>
          </cell>
          <cell r="P997">
            <v>138.952</v>
          </cell>
        </row>
        <row r="998">
          <cell r="E998">
            <v>16</v>
          </cell>
          <cell r="P998">
            <v>17.0532</v>
          </cell>
        </row>
        <row r="999">
          <cell r="E999">
            <v>12</v>
          </cell>
          <cell r="P999">
            <v>14.208</v>
          </cell>
        </row>
        <row r="1000">
          <cell r="P1000">
            <v>14.208</v>
          </cell>
        </row>
        <row r="1001">
          <cell r="E1001">
            <v>16</v>
          </cell>
          <cell r="P1001">
            <v>135.16239999999999</v>
          </cell>
        </row>
        <row r="1002">
          <cell r="E1002">
            <v>16</v>
          </cell>
          <cell r="P1002">
            <v>15.79</v>
          </cell>
        </row>
        <row r="1003">
          <cell r="E1003">
            <v>12</v>
          </cell>
          <cell r="P1003">
            <v>14.208</v>
          </cell>
        </row>
        <row r="1004">
          <cell r="P1004">
            <v>14.208</v>
          </cell>
        </row>
        <row r="1005">
          <cell r="E1005">
            <v>16</v>
          </cell>
          <cell r="P1005">
            <v>101.37179999999999</v>
          </cell>
        </row>
        <row r="1006">
          <cell r="E1006">
            <v>16</v>
          </cell>
          <cell r="P1006">
            <v>12.789899999999999</v>
          </cell>
        </row>
        <row r="1007">
          <cell r="E1007">
            <v>12</v>
          </cell>
          <cell r="P1007">
            <v>10.656000000000001</v>
          </cell>
        </row>
        <row r="1008">
          <cell r="P1008">
            <v>10.656000000000001</v>
          </cell>
        </row>
        <row r="1009">
          <cell r="E1009">
            <v>16</v>
          </cell>
          <cell r="P1009">
            <v>33.790599999999998</v>
          </cell>
        </row>
        <row r="1010">
          <cell r="E1010">
            <v>16</v>
          </cell>
          <cell r="P1010">
            <v>3.9474999999999998</v>
          </cell>
        </row>
        <row r="1011">
          <cell r="E1011">
            <v>12</v>
          </cell>
          <cell r="P1011">
            <v>3.552</v>
          </cell>
        </row>
        <row r="1012">
          <cell r="P1012">
            <v>3.552</v>
          </cell>
        </row>
        <row r="1013">
          <cell r="E1013">
            <v>16</v>
          </cell>
          <cell r="P1013">
            <v>69.475999999999999</v>
          </cell>
        </row>
        <row r="1014">
          <cell r="E1014">
            <v>16</v>
          </cell>
          <cell r="P1014">
            <v>11.052999999999999</v>
          </cell>
        </row>
        <row r="1015">
          <cell r="E1015">
            <v>12</v>
          </cell>
          <cell r="P1015">
            <v>7.1040000000000001</v>
          </cell>
        </row>
        <row r="1016">
          <cell r="P1016">
            <v>7.1040000000000001</v>
          </cell>
        </row>
        <row r="1017">
          <cell r="E1017">
            <v>16</v>
          </cell>
          <cell r="P1017">
            <v>31.895799999999998</v>
          </cell>
        </row>
        <row r="1018">
          <cell r="E1018">
            <v>16</v>
          </cell>
          <cell r="P1018">
            <v>3.9474999999999998</v>
          </cell>
        </row>
        <row r="1019">
          <cell r="E1019">
            <v>12</v>
          </cell>
          <cell r="P1019">
            <v>3.552</v>
          </cell>
        </row>
        <row r="1022">
          <cell r="E1022" t="str">
            <v>Sill ht =</v>
          </cell>
        </row>
        <row r="1023">
          <cell r="E1023" t="str">
            <v>Sill ht =</v>
          </cell>
        </row>
        <row r="1024">
          <cell r="E1024">
            <v>16</v>
          </cell>
          <cell r="P1024">
            <v>25.579799999999999</v>
          </cell>
        </row>
        <row r="1025">
          <cell r="E1025">
            <v>16</v>
          </cell>
          <cell r="P1025">
            <v>21.474399999999999</v>
          </cell>
        </row>
        <row r="1026">
          <cell r="E1026">
            <v>12</v>
          </cell>
          <cell r="P1026">
            <v>14.208</v>
          </cell>
        </row>
        <row r="1027">
          <cell r="P1027">
            <v>14.208</v>
          </cell>
        </row>
        <row r="1028">
          <cell r="E1028">
            <v>16</v>
          </cell>
          <cell r="P1028">
            <v>134.215</v>
          </cell>
        </row>
        <row r="1029">
          <cell r="E1029">
            <v>16</v>
          </cell>
          <cell r="P1029">
            <v>110.52999999999999</v>
          </cell>
        </row>
        <row r="1030">
          <cell r="E1030">
            <v>12</v>
          </cell>
          <cell r="P1030">
            <v>71.040000000000006</v>
          </cell>
        </row>
        <row r="1031">
          <cell r="P1031">
            <v>71.040000000000006</v>
          </cell>
        </row>
        <row r="1032">
          <cell r="E1032">
            <v>16</v>
          </cell>
          <cell r="P1032">
            <v>26.843</v>
          </cell>
        </row>
        <row r="1033">
          <cell r="E1033">
            <v>16</v>
          </cell>
          <cell r="P1033">
            <v>28.422000000000001</v>
          </cell>
        </row>
        <row r="1034">
          <cell r="E1034">
            <v>12</v>
          </cell>
          <cell r="P1034">
            <v>14.208</v>
          </cell>
        </row>
        <row r="1035">
          <cell r="P1035">
            <v>14.208</v>
          </cell>
        </row>
        <row r="1036">
          <cell r="E1036">
            <v>16</v>
          </cell>
          <cell r="P1036">
            <v>107.372</v>
          </cell>
        </row>
        <row r="1037">
          <cell r="E1037">
            <v>16</v>
          </cell>
          <cell r="P1037">
            <v>73.265599999999992</v>
          </cell>
        </row>
        <row r="1038">
          <cell r="E1038">
            <v>12</v>
          </cell>
          <cell r="P1038">
            <v>56.832000000000001</v>
          </cell>
        </row>
        <row r="1039">
          <cell r="P1039">
            <v>56.832000000000001</v>
          </cell>
        </row>
        <row r="1040">
          <cell r="E1040">
            <v>16</v>
          </cell>
          <cell r="P1040">
            <v>26.843</v>
          </cell>
        </row>
        <row r="1041">
          <cell r="E1041">
            <v>16</v>
          </cell>
          <cell r="P1041">
            <v>16.421599999999998</v>
          </cell>
        </row>
        <row r="1042">
          <cell r="E1042">
            <v>12</v>
          </cell>
          <cell r="P1042">
            <v>14.208</v>
          </cell>
        </row>
        <row r="1043">
          <cell r="P1043">
            <v>14.208</v>
          </cell>
        </row>
        <row r="1044">
          <cell r="E1044">
            <v>16</v>
          </cell>
          <cell r="P1044">
            <v>25.895599999999998</v>
          </cell>
        </row>
        <row r="1045">
          <cell r="E1045">
            <v>16</v>
          </cell>
          <cell r="P1045">
            <v>16.421599999999998</v>
          </cell>
        </row>
        <row r="1046">
          <cell r="E1046">
            <v>12</v>
          </cell>
          <cell r="P1046">
            <v>14.208</v>
          </cell>
        </row>
        <row r="1047">
          <cell r="P1047">
            <v>14.208</v>
          </cell>
        </row>
        <row r="1048">
          <cell r="E1048">
            <v>16</v>
          </cell>
          <cell r="P1048">
            <v>92.2136</v>
          </cell>
        </row>
        <row r="1049">
          <cell r="E1049">
            <v>16</v>
          </cell>
          <cell r="P1049">
            <v>60.633599999999994</v>
          </cell>
        </row>
        <row r="1050">
          <cell r="E1050">
            <v>12</v>
          </cell>
          <cell r="P1050">
            <v>56.832000000000001</v>
          </cell>
        </row>
        <row r="1051">
          <cell r="P1051">
            <v>56.832000000000001</v>
          </cell>
        </row>
        <row r="1052">
          <cell r="E1052">
            <v>16</v>
          </cell>
          <cell r="P1052">
            <v>32.5274</v>
          </cell>
        </row>
        <row r="1053">
          <cell r="E1053">
            <v>16</v>
          </cell>
          <cell r="P1053">
            <v>18.316399999999998</v>
          </cell>
        </row>
        <row r="1054">
          <cell r="E1054">
            <v>12</v>
          </cell>
          <cell r="P1054">
            <v>14.208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 val="1"/>
      <sheetName val="2"/>
      <sheetName val="3"/>
      <sheetName val=" 4"/>
      <sheetName val="Summary"/>
      <sheetName val="REV. 2 INPUT"/>
      <sheetName val="Sheet1"/>
      <sheetName val="LABCOST"/>
      <sheetName val="3QLRP ( R2 MOR)"/>
      <sheetName val="SLMC BOQ-MEPF-REV 2 (BASE BID) "/>
      <sheetName val="242-3 summaryOPC"/>
      <sheetName val="L(1)"/>
      <sheetName val="L(2)"/>
      <sheetName val="L(3)"/>
      <sheetName val="L(4)"/>
      <sheetName val="Worksheet"/>
      <sheetName val="Bill 10 - Specialties"/>
      <sheetName val="GLASS PARAPET"/>
      <sheetName val="revised#1"/>
      <sheetName val="PipWT"/>
      <sheetName val="BREAKDOWN"/>
      <sheetName val="_4"/>
      <sheetName val="REV__2_INPUT"/>
      <sheetName val="保温材（VALVE BQ）"/>
      <sheetName val="DATA"/>
      <sheetName val="BOQ "/>
      <sheetName val="RSB_RATIO"/>
      <sheetName val="Schedule S-Curve Revision#3"/>
      <sheetName val="Bill summary of cost"/>
      <sheetName val="_41"/>
      <sheetName val="REV__2_INPUT1"/>
      <sheetName val="3QLRP_(_R2_MOR)"/>
      <sheetName val="SLMC_BOQ-MEPF-REV_2_(BASE_BID)_"/>
      <sheetName val="242-3_summaryOPC"/>
      <sheetName val="Bill_10_-_Specialties"/>
      <sheetName val="保温材（VALVE_BQ）"/>
      <sheetName val="BOQ_"/>
      <sheetName val="GLASS_PARAPET"/>
      <sheetName val="Schedule_S-Curve_Revision#3"/>
      <sheetName val="Bill_summary_of_cost"/>
      <sheetName val="GFA"/>
      <sheetName val="PRELIMS"/>
      <sheetName val="Adimi bldg"/>
      <sheetName val="Pump House"/>
      <sheetName val="Fuel Regu Station"/>
      <sheetName val="BOQ3"/>
      <sheetName val="specialties"/>
      <sheetName val="Labor-Equipment Rates"/>
      <sheetName val="BOQ"/>
      <sheetName val="est"/>
      <sheetName val="derive"/>
      <sheetName val="Summary-Actual"/>
      <sheetName val="DET"/>
      <sheetName val="Plumbing"/>
      <sheetName val="Process"/>
      <sheetName val="demolition"/>
      <sheetName val="Bill6"/>
      <sheetName val="BM"/>
      <sheetName val="Rebars"/>
      <sheetName val="4.boq-site(o)"/>
      <sheetName val="INPUT DATA HERE"/>
      <sheetName val="CE"/>
      <sheetName val=""/>
      <sheetName val="masonry works"/>
      <sheetName val="Others"/>
      <sheetName val="sum mdc"/>
      <sheetName val="business hotel"/>
      <sheetName val="Factor"/>
      <sheetName val="ewrks-deriv"/>
      <sheetName val="GRAND SUM"/>
      <sheetName val="struc_parameters"/>
      <sheetName val="COST REPORT - ASGEN LD S1"/>
      <sheetName val="_42"/>
      <sheetName val="REV__2_INPUT2"/>
      <sheetName val="3QLRP_(_R2_MOR)1"/>
      <sheetName val="SLMC_BOQ-MEPF-REV_2_(BASE_BID)1"/>
      <sheetName val="242-3_summaryOPC1"/>
      <sheetName val="Bill_10_-_Specialties1"/>
      <sheetName val="GLASS_PARAPET1"/>
      <sheetName val="保温材（VALVE_BQ）1"/>
      <sheetName val="BOQ_1"/>
      <sheetName val="Schedule_S-Curve_Revision#31"/>
      <sheetName val="Bill_summary_of_cost1"/>
      <sheetName val="Adimi_bldg"/>
      <sheetName val="Pump_House"/>
      <sheetName val="Fuel_Regu_Station"/>
      <sheetName val="Labor-Equipment_Rates"/>
      <sheetName val="4_boq-site(o)"/>
      <sheetName val="INPUT_DATA_HERE"/>
      <sheetName val="masonry_works"/>
      <sheetName val="sum_mdc"/>
      <sheetName val="business_hotel"/>
      <sheetName val="GRAND_SUM"/>
      <sheetName val="COST_REPORT_-_ASGEN_LD_S1"/>
      <sheetName val="_43"/>
      <sheetName val="REV__2_INPUT3"/>
      <sheetName val="3QLRP_(_R2_MOR)2"/>
      <sheetName val="SLMC_BOQ-MEPF-REV_2_(BASE_BID)2"/>
      <sheetName val="242-3_summaryOPC2"/>
      <sheetName val="Bill_10_-_Specialties2"/>
      <sheetName val="GLASS_PARAPET2"/>
      <sheetName val="保温材（VALVE_BQ）2"/>
      <sheetName val="BOQ_2"/>
      <sheetName val="Schedule_S-Curve_Revision#32"/>
      <sheetName val="Bill_summary_of_cost2"/>
      <sheetName val="Adimi_bldg1"/>
      <sheetName val="Pump_House1"/>
      <sheetName val="Fuel_Regu_Station1"/>
      <sheetName val="Labor-Equipment_Rates1"/>
      <sheetName val="4_boq-site(o)1"/>
      <sheetName val="INPUT_DATA_HERE1"/>
      <sheetName val="masonry_works1"/>
      <sheetName val="sum_mdc1"/>
      <sheetName val="business_hotel1"/>
      <sheetName val="GRAND_SUM1"/>
      <sheetName val="COST_REPORT_-_ASGEN_LD_S11"/>
      <sheetName val="_44"/>
      <sheetName val="REV__2_INPUT4"/>
      <sheetName val="3QLRP_(_R2_MOR)3"/>
      <sheetName val="SLMC_BOQ-MEPF-REV_2_(BASE_BID)3"/>
      <sheetName val="242-3_summaryOPC3"/>
      <sheetName val="Bill_10_-_Specialties3"/>
      <sheetName val="GLASS_PARAPET3"/>
      <sheetName val="保温材（VALVE_BQ）3"/>
      <sheetName val="BOQ_3"/>
      <sheetName val="Schedule_S-Curve_Revision#33"/>
      <sheetName val="Bill_summary_of_cost3"/>
      <sheetName val="Adimi_bldg2"/>
      <sheetName val="Pump_House2"/>
      <sheetName val="Fuel_Regu_Station2"/>
      <sheetName val="Labor-Equipment_Rates2"/>
      <sheetName val="4_boq-site(o)2"/>
      <sheetName val="INPUT_DATA_HERE2"/>
      <sheetName val="masonry_works2"/>
      <sheetName val="sum_mdc2"/>
      <sheetName val="business_hotel2"/>
      <sheetName val="GRAND_SUM2"/>
      <sheetName val="COST_REPORT_-_ASGEN_LD_S12"/>
      <sheetName val="2.678M"/>
      <sheetName val="Navigation Page"/>
      <sheetName val="DATA VALIDATION"/>
      <sheetName val="Phase 2A - REvised"/>
      <sheetName val="Analysis"/>
      <sheetName val="CP"/>
      <sheetName val="ALUM. LOUVER"/>
      <sheetName val="Summary (overall)"/>
      <sheetName val="Electrical Pricelist"/>
      <sheetName val="UC"/>
      <sheetName val="DETAILED"/>
      <sheetName val="RFP Codes"/>
      <sheetName val="Crew"/>
      <sheetName val="Parameters"/>
      <sheetName val="Lookup Table"/>
      <sheetName val="Bin"/>
      <sheetName val="Labor"/>
      <sheetName val="MU"/>
      <sheetName val="RW48 E"/>
      <sheetName val="Land Dev't. Ph-1"/>
      <sheetName val="BOQ-P"/>
      <sheetName val="DD EST."/>
      <sheetName val="Testing"/>
      <sheetName val="PHASE 1 REBAR"/>
      <sheetName val="Config"/>
      <sheetName val="MIS"/>
      <sheetName val="Bill3-Basement"/>
      <sheetName val="bi-mnthly rep Villa"/>
      <sheetName val="dervstruc"/>
      <sheetName val="bridge # 1"/>
      <sheetName val="Concrete"/>
      <sheetName val="GEN REQ"/>
      <sheetName val="SD and START UP"/>
      <sheetName val="sc PhI ok"/>
      <sheetName val="Schedule S-Curve (new scheme)"/>
      <sheetName val="NewAging"/>
      <sheetName val="SKED_UG&amp;RW"/>
      <sheetName val="quitangquil"/>
      <sheetName val="MU "/>
      <sheetName val="pipes"/>
      <sheetName val="MATL"/>
      <sheetName val="temporary power ob"/>
      <sheetName val="reference"/>
      <sheetName val="building permit"/>
      <sheetName val="guardhouse ob"/>
      <sheetName val="basis of rates_derivation"/>
      <sheetName val="schedule of material &amp; finishes"/>
      <sheetName val="Liabilities"/>
      <sheetName val="ITB COST"/>
      <sheetName val="HOSum"/>
      <sheetName val="Pump Rev"/>
      <sheetName val="Summary WG"/>
      <sheetName val="PR-BF"/>
      <sheetName val="CP_TU_AD"/>
      <sheetName val="Equpt"/>
      <sheetName val="GAE8'97"/>
      <sheetName val="labour_unit_rates"/>
      <sheetName val="summary_level-2"/>
      <sheetName val="QTO"/>
      <sheetName val="Lookup_Table"/>
      <sheetName val="DATA_VALIDATION"/>
      <sheetName val="Phase_2A_-_REvised"/>
      <sheetName val="ALUM__LOUVER"/>
      <sheetName val="2_678M"/>
      <sheetName val="Summary_(overall)"/>
      <sheetName val="Navigation_Page"/>
      <sheetName val="Electrical_Pricelist"/>
      <sheetName val="RFP_Codes"/>
      <sheetName val="RW48_E"/>
      <sheetName val="ITB_COST"/>
      <sheetName val="PHASE_1_REBAR"/>
      <sheetName val="bridge_#_1"/>
      <sheetName val="GEN_REQ"/>
      <sheetName val="SD_and_START_UP"/>
      <sheetName val="bi-mnthly_rep_Villa"/>
      <sheetName val="Pump_Rev"/>
      <sheetName val="Summary_WG"/>
      <sheetName val="DD_EST_"/>
      <sheetName val="MU_"/>
      <sheetName val="Pricelist"/>
      <sheetName val="_47"/>
      <sheetName val="REV__2_INPUT7"/>
      <sheetName val="3QLRP_(_R2_MOR)6"/>
      <sheetName val="SLMC_BOQ-MEPF-REV_2_(BASE_BID)6"/>
      <sheetName val="242-3_summaryOPC6"/>
      <sheetName val="Bill_10_-_Specialties6"/>
      <sheetName val="GLASS_PARAPET6"/>
      <sheetName val="保温材（VALVE_BQ）6"/>
      <sheetName val="BOQ_6"/>
      <sheetName val="Schedule_S-Curve_Revision#36"/>
      <sheetName val="Bill_summary_of_cost6"/>
      <sheetName val="Adimi_bldg5"/>
      <sheetName val="Pump_House5"/>
      <sheetName val="Fuel_Regu_Station5"/>
      <sheetName val="Labor-Equipment_Rates5"/>
      <sheetName val="4_boq-site(o)5"/>
      <sheetName val="INPUT_DATA_HERE5"/>
      <sheetName val="masonry_works5"/>
      <sheetName val="sum_mdc5"/>
      <sheetName val="business_hotel5"/>
      <sheetName val="GRAND_SUM5"/>
      <sheetName val="COST_REPORT_-_ASGEN_LD_S15"/>
      <sheetName val="basis_of_rates_derivation2"/>
      <sheetName val="2_678M3"/>
      <sheetName val="Navigation_Page3"/>
      <sheetName val="DATA_VALIDATION3"/>
      <sheetName val="Phase_2A_-_REvised3"/>
      <sheetName val="ALUM__LOUVER3"/>
      <sheetName val="Summary_(overall)3"/>
      <sheetName val="Electrical_Pricelist3"/>
      <sheetName val="RFP_Codes3"/>
      <sheetName val="Lookup_Table3"/>
      <sheetName val="RW48_E3"/>
      <sheetName val="Land_Dev't__Ph-12"/>
      <sheetName val="DD_EST_3"/>
      <sheetName val="PHASE_1_REBAR3"/>
      <sheetName val="bi-mnthly_rep_Villa3"/>
      <sheetName val="bridge_#_13"/>
      <sheetName val="GEN_REQ3"/>
      <sheetName val="SD_and_START_UP3"/>
      <sheetName val="sc_PhI_ok2"/>
      <sheetName val="Schedule_S-Curve_(new_scheme)2"/>
      <sheetName val="MU_3"/>
      <sheetName val="temporary_power_ob2"/>
      <sheetName val="building_permit2"/>
      <sheetName val="guardhouse_ob2"/>
      <sheetName val="schedule_of_material_&amp;_finishe2"/>
      <sheetName val="ITB_COST3"/>
      <sheetName val="Pump_Rev3"/>
      <sheetName val="Summary_WG3"/>
      <sheetName val="_46"/>
      <sheetName val="REV__2_INPUT6"/>
      <sheetName val="3QLRP_(_R2_MOR)5"/>
      <sheetName val="SLMC_BOQ-MEPF-REV_2_(BASE_BID)5"/>
      <sheetName val="242-3_summaryOPC5"/>
      <sheetName val="Bill_10_-_Specialties5"/>
      <sheetName val="GLASS_PARAPET5"/>
      <sheetName val="保温材（VALVE_BQ）5"/>
      <sheetName val="BOQ_5"/>
      <sheetName val="Schedule_S-Curve_Revision#35"/>
      <sheetName val="Bill_summary_of_cost5"/>
      <sheetName val="Adimi_bldg4"/>
      <sheetName val="Pump_House4"/>
      <sheetName val="Fuel_Regu_Station4"/>
      <sheetName val="Labor-Equipment_Rates4"/>
      <sheetName val="4_boq-site(o)4"/>
      <sheetName val="INPUT_DATA_HERE4"/>
      <sheetName val="masonry_works4"/>
      <sheetName val="sum_mdc4"/>
      <sheetName val="business_hotel4"/>
      <sheetName val="GRAND_SUM4"/>
      <sheetName val="COST_REPORT_-_ASGEN_LD_S14"/>
      <sheetName val="2_678M2"/>
      <sheetName val="Navigation_Page2"/>
      <sheetName val="DATA_VALIDATION2"/>
      <sheetName val="Phase_2A_-_REvised2"/>
      <sheetName val="ALUM__LOUVER2"/>
      <sheetName val="Summary_(overall)2"/>
      <sheetName val="Electrical_Pricelist2"/>
      <sheetName val="RFP_Codes2"/>
      <sheetName val="Lookup_Table2"/>
      <sheetName val="RW48_E2"/>
      <sheetName val="Land_Dev't__Ph-11"/>
      <sheetName val="DD_EST_2"/>
      <sheetName val="PHASE_1_REBAR2"/>
      <sheetName val="bi-mnthly_rep_Villa2"/>
      <sheetName val="bridge_#_12"/>
      <sheetName val="GEN_REQ2"/>
      <sheetName val="SD_and_START_UP2"/>
      <sheetName val="sc_PhI_ok1"/>
      <sheetName val="Schedule_S-Curve_(new_scheme)1"/>
      <sheetName val="MU_2"/>
      <sheetName val="temporary_power_ob1"/>
      <sheetName val="building_permit1"/>
      <sheetName val="guardhouse_ob1"/>
      <sheetName val="basis_of_rates_derivation1"/>
      <sheetName val="schedule_of_material_&amp;_finishe1"/>
      <sheetName val="ITB_COST2"/>
      <sheetName val="Pump_Rev2"/>
      <sheetName val="Summary_WG2"/>
      <sheetName val="_45"/>
      <sheetName val="REV__2_INPUT5"/>
      <sheetName val="3QLRP_(_R2_MOR)4"/>
      <sheetName val="SLMC_BOQ-MEPF-REV_2_(BASE_BID)4"/>
      <sheetName val="242-3_summaryOPC4"/>
      <sheetName val="Bill_10_-_Specialties4"/>
      <sheetName val="GLASS_PARAPET4"/>
      <sheetName val="保温材（VALVE_BQ）4"/>
      <sheetName val="BOQ_4"/>
      <sheetName val="Schedule_S-Curve_Revision#34"/>
      <sheetName val="Bill_summary_of_cost4"/>
      <sheetName val="Adimi_bldg3"/>
      <sheetName val="Pump_House3"/>
      <sheetName val="Fuel_Regu_Station3"/>
      <sheetName val="Labor-Equipment_Rates3"/>
      <sheetName val="4_boq-site(o)3"/>
      <sheetName val="INPUT_DATA_HERE3"/>
      <sheetName val="masonry_works3"/>
      <sheetName val="sum_mdc3"/>
      <sheetName val="business_hotel3"/>
      <sheetName val="GRAND_SUM3"/>
      <sheetName val="COST_REPORT_-_ASGEN_LD_S13"/>
      <sheetName val="2_678M1"/>
      <sheetName val="Navigation_Page1"/>
      <sheetName val="DATA_VALIDATION1"/>
      <sheetName val="Phase_2A_-_REvised1"/>
      <sheetName val="ALUM__LOUVER1"/>
      <sheetName val="Summary_(overall)1"/>
      <sheetName val="Electrical_Pricelist1"/>
      <sheetName val="RFP_Codes1"/>
      <sheetName val="Lookup_Table1"/>
      <sheetName val="RW48_E1"/>
      <sheetName val="Land_Dev't__Ph-1"/>
      <sheetName val="DD_EST_1"/>
      <sheetName val="PHASE_1_REBAR1"/>
      <sheetName val="bi-mnthly_rep_Villa1"/>
      <sheetName val="bridge_#_11"/>
      <sheetName val="GEN_REQ1"/>
      <sheetName val="SD_and_START_UP1"/>
      <sheetName val="sc_PhI_ok"/>
      <sheetName val="Schedule_S-Curve_(new_scheme)"/>
      <sheetName val="MU_1"/>
      <sheetName val="temporary_power_ob"/>
      <sheetName val="building_permit"/>
      <sheetName val="guardhouse_ob"/>
      <sheetName val="basis_of_rates_derivation"/>
      <sheetName val="schedule_of_material_&amp;_finishes"/>
      <sheetName val="ITB_COST1"/>
      <sheetName val="Pump_Rev1"/>
      <sheetName val="Summary_WG1"/>
      <sheetName val="_48"/>
      <sheetName val="REV__2_INPUT8"/>
      <sheetName val="3QLRP_(_R2_MOR)7"/>
      <sheetName val="SLMC_BOQ-MEPF-REV_2_(BASE_BID)7"/>
      <sheetName val="242-3_summaryOPC7"/>
      <sheetName val="Bill_10_-_Specialties7"/>
      <sheetName val="GLASS_PARAPET7"/>
      <sheetName val="保温材（VALVE_BQ）7"/>
      <sheetName val="BOQ_7"/>
      <sheetName val="Schedule_S-Curve_Revision#37"/>
      <sheetName val="Bill_summary_of_cost7"/>
      <sheetName val="Adimi_bldg6"/>
      <sheetName val="Pump_House6"/>
      <sheetName val="Fuel_Regu_Station6"/>
      <sheetName val="Labor-Equipment_Rates6"/>
      <sheetName val="4_boq-site(o)6"/>
      <sheetName val="INPUT_DATA_HERE6"/>
      <sheetName val="masonry_works6"/>
      <sheetName val="sum_mdc6"/>
      <sheetName val="business_hotel6"/>
      <sheetName val="GRAND_SUM6"/>
      <sheetName val="COST_REPORT_-_ASGEN_LD_S16"/>
      <sheetName val="basis_of_rates_derivation3"/>
      <sheetName val="2_678M4"/>
      <sheetName val="Navigation_Page4"/>
      <sheetName val="DATA_VALIDATION4"/>
      <sheetName val="Phase_2A_-_REvised4"/>
      <sheetName val="ALUM__LOUVER4"/>
      <sheetName val="Summary_(overall)4"/>
      <sheetName val="Electrical_Pricelist4"/>
      <sheetName val="RFP_Codes4"/>
      <sheetName val="Lookup_Table4"/>
      <sheetName val="RW48_E4"/>
      <sheetName val="Land_Dev't__Ph-13"/>
      <sheetName val="DD_EST_4"/>
      <sheetName val="PHASE_1_REBAR4"/>
      <sheetName val="bi-mnthly_rep_Villa4"/>
      <sheetName val="bridge_#_14"/>
      <sheetName val="GEN_REQ4"/>
      <sheetName val="SD_and_START_UP4"/>
      <sheetName val="sc_PhI_ok3"/>
      <sheetName val="Schedule_S-Curve_(new_scheme)3"/>
      <sheetName val="MU_4"/>
      <sheetName val="temporary_power_ob3"/>
      <sheetName val="building_permit3"/>
      <sheetName val="guardhouse_ob3"/>
      <sheetName val="schedule_of_material_&amp;_finishe3"/>
      <sheetName val="ITB_COST4"/>
      <sheetName val="Pump_Rev4"/>
      <sheetName val="Summary_WG4"/>
      <sheetName val="_49"/>
      <sheetName val="REV__2_INPUT9"/>
      <sheetName val="3QLRP_(_R2_MOR)8"/>
      <sheetName val="SLMC_BOQ-MEPF-REV_2_(BASE_BID)8"/>
      <sheetName val="242-3_summaryOPC8"/>
      <sheetName val="Bill_10_-_Specialties8"/>
      <sheetName val="GLASS_PARAPET8"/>
      <sheetName val="保温材（VALVE_BQ）8"/>
      <sheetName val="BOQ_8"/>
      <sheetName val="Schedule_S-Curve_Revision#38"/>
      <sheetName val="Bill_summary_of_cost8"/>
      <sheetName val="Adimi_bldg7"/>
      <sheetName val="Pump_House7"/>
      <sheetName val="Fuel_Regu_Station7"/>
      <sheetName val="Labor-Equipment_Rates7"/>
      <sheetName val="4_boq-site(o)7"/>
      <sheetName val="INPUT_DATA_HERE7"/>
      <sheetName val="masonry_works7"/>
      <sheetName val="sum_mdc7"/>
      <sheetName val="business_hotel7"/>
      <sheetName val="GRAND_SUM7"/>
      <sheetName val="COST_REPORT_-_ASGEN_LD_S17"/>
      <sheetName val="2_678M5"/>
      <sheetName val="Navigation_Page5"/>
      <sheetName val="DATA_VALIDATION5"/>
      <sheetName val="Phase_2A_-_REvised5"/>
      <sheetName val="ALUM__LOUVER5"/>
      <sheetName val="Summary_(overall)5"/>
      <sheetName val="Electrical_Pricelist5"/>
      <sheetName val="RFP_Codes5"/>
      <sheetName val="Lookup_Table5"/>
      <sheetName val="RW48_E5"/>
      <sheetName val="Land_Dev't__Ph-14"/>
      <sheetName val="DD_EST_5"/>
      <sheetName val="PHASE_1_REBAR5"/>
      <sheetName val="bi-mnthly_rep_Villa5"/>
      <sheetName val="bridge_#_15"/>
      <sheetName val="GEN_REQ5"/>
      <sheetName val="SD_and_START_UP5"/>
      <sheetName val="sc_PhI_ok4"/>
      <sheetName val="Schedule_S-Curve_(new_scheme)4"/>
      <sheetName val="MU_5"/>
      <sheetName val="temporary_power_ob4"/>
      <sheetName val="building_permit4"/>
      <sheetName val="guardhouse_ob4"/>
      <sheetName val="basis_of_rates_derivation4"/>
      <sheetName val="schedule_of_material_&amp;_finishe4"/>
      <sheetName val="ITB_COST5"/>
      <sheetName val="Pump_Rev5"/>
      <sheetName val="Summary_WG5"/>
      <sheetName val="STAFFSCHED "/>
      <sheetName val="vo-mc"/>
      <sheetName val="vo-curtain wall"/>
      <sheetName val="vo-m&amp;e"/>
      <sheetName val="BILL9"/>
      <sheetName val="CE Materials Price List"/>
      <sheetName val="#ref!"/>
      <sheetName val="境内"/>
      <sheetName val="CD_LC"/>
      <sheetName val="eq_data"/>
      <sheetName val="prices"/>
      <sheetName val="Labor Rate"/>
      <sheetName val="인원동원계획"/>
      <sheetName val="EX_STRBQ"/>
      <sheetName val="LIBRARY"/>
      <sheetName val="BLDG4"/>
      <sheetName val="EAST TOWER"/>
      <sheetName val="Formworks"/>
      <sheetName val="afis"/>
      <sheetName val="Detail"/>
      <sheetName val="_412"/>
      <sheetName val="REV__2_INPUT12"/>
      <sheetName val="3QLRP_(_R2_MOR)11"/>
      <sheetName val="SLMC_BOQ-MEPF-REV_2_(BASE_BID11"/>
      <sheetName val="242-3_summaryOPC11"/>
      <sheetName val="Bill_10_-_Specialties11"/>
      <sheetName val="GLASS_PARAPET11"/>
      <sheetName val="保温材（VALVE_BQ）11"/>
      <sheetName val="BOQ_11"/>
      <sheetName val="Schedule_S-Curve_Revision#311"/>
      <sheetName val="Bill_summary_of_cost11"/>
      <sheetName val="Adimi_bldg10"/>
      <sheetName val="Pump_House10"/>
      <sheetName val="Fuel_Regu_Station10"/>
      <sheetName val="Labor-Equipment_Rates10"/>
      <sheetName val="4_boq-site(o)10"/>
      <sheetName val="INPUT_DATA_HERE10"/>
      <sheetName val="masonry_works10"/>
      <sheetName val="sum_mdc10"/>
      <sheetName val="business_hotel10"/>
      <sheetName val="GRAND_SUM10"/>
      <sheetName val="COST_REPORT_-_ASGEN_LD_S110"/>
      <sheetName val="2_678M8"/>
      <sheetName val="Navigation_Page8"/>
      <sheetName val="DATA_VALIDATION8"/>
      <sheetName val="Phase_2A_-_REvised8"/>
      <sheetName val="ALUM__LOUVER8"/>
      <sheetName val="Summary_(overall)8"/>
      <sheetName val="Electrical_Pricelist8"/>
      <sheetName val="RFP_Codes8"/>
      <sheetName val="Lookup_Table8"/>
      <sheetName val="RW48_E8"/>
      <sheetName val="Land_Dev't__Ph-17"/>
      <sheetName val="DD_EST_8"/>
      <sheetName val="PHASE_1_REBAR8"/>
      <sheetName val="bi-mnthly_rep_Villa8"/>
      <sheetName val="bridge_#_18"/>
      <sheetName val="GEN_REQ8"/>
      <sheetName val="SD_and_START_UP8"/>
      <sheetName val="sc_PhI_ok7"/>
      <sheetName val="Schedule_S-Curve_(new_scheme)7"/>
      <sheetName val="MU_8"/>
      <sheetName val="temporary_power_ob7"/>
      <sheetName val="building_permit7"/>
      <sheetName val="guardhouse_ob7"/>
      <sheetName val="basis_of_rates_derivation7"/>
      <sheetName val="schedule_of_material_&amp;_finishe7"/>
      <sheetName val="ITB_COST8"/>
      <sheetName val="Pump_Rev8"/>
      <sheetName val="Summary_WG8"/>
      <sheetName val="_410"/>
      <sheetName val="REV__2_INPUT10"/>
      <sheetName val="3QLRP_(_R2_MOR)9"/>
      <sheetName val="SLMC_BOQ-MEPF-REV_2_(BASE_BID)9"/>
      <sheetName val="242-3_summaryOPC9"/>
      <sheetName val="Bill_10_-_Specialties9"/>
      <sheetName val="GLASS_PARAPET9"/>
      <sheetName val="保温材（VALVE_BQ）9"/>
      <sheetName val="BOQ_9"/>
      <sheetName val="Schedule_S-Curve_Revision#39"/>
      <sheetName val="Bill_summary_of_cost9"/>
      <sheetName val="Adimi_bldg8"/>
      <sheetName val="Pump_House8"/>
      <sheetName val="Fuel_Regu_Station8"/>
      <sheetName val="Labor-Equipment_Rates8"/>
      <sheetName val="4_boq-site(o)8"/>
      <sheetName val="INPUT_DATA_HERE8"/>
      <sheetName val="masonry_works8"/>
      <sheetName val="sum_mdc8"/>
      <sheetName val="business_hotel8"/>
      <sheetName val="GRAND_SUM8"/>
      <sheetName val="COST_REPORT_-_ASGEN_LD_S18"/>
      <sheetName val="2_678M6"/>
      <sheetName val="Navigation_Page6"/>
      <sheetName val="DATA_VALIDATION6"/>
      <sheetName val="Phase_2A_-_REvised6"/>
      <sheetName val="ALUM__LOUVER6"/>
      <sheetName val="Summary_(overall)6"/>
      <sheetName val="Electrical_Pricelist6"/>
      <sheetName val="RFP_Codes6"/>
      <sheetName val="Lookup_Table6"/>
      <sheetName val="RW48_E6"/>
      <sheetName val="Land_Dev't__Ph-15"/>
      <sheetName val="DD_EST_6"/>
      <sheetName val="PHASE_1_REBAR6"/>
      <sheetName val="bi-mnthly_rep_Villa6"/>
      <sheetName val="bridge_#_16"/>
      <sheetName val="GEN_REQ6"/>
      <sheetName val="SD_and_START_UP6"/>
      <sheetName val="sc_PhI_ok5"/>
      <sheetName val="Schedule_S-Curve_(new_scheme)5"/>
      <sheetName val="MU_6"/>
      <sheetName val="temporary_power_ob5"/>
      <sheetName val="building_permit5"/>
      <sheetName val="guardhouse_ob5"/>
      <sheetName val="basis_of_rates_derivation5"/>
      <sheetName val="schedule_of_material_&amp;_finishe5"/>
      <sheetName val="ITB_COST6"/>
      <sheetName val="Pump_Rev6"/>
      <sheetName val="Summary_WG6"/>
      <sheetName val="_411"/>
      <sheetName val="REV__2_INPUT11"/>
      <sheetName val="3QLRP_(_R2_MOR)10"/>
      <sheetName val="SLMC_BOQ-MEPF-REV_2_(BASE_BID10"/>
      <sheetName val="242-3_summaryOPC10"/>
      <sheetName val="Bill_10_-_Specialties10"/>
      <sheetName val="GLASS_PARAPET10"/>
      <sheetName val="保温材（VALVE_BQ）10"/>
      <sheetName val="BOQ_10"/>
      <sheetName val="Schedule_S-Curve_Revision#310"/>
      <sheetName val="Bill_summary_of_cost10"/>
      <sheetName val="Adimi_bldg9"/>
      <sheetName val="Pump_House9"/>
      <sheetName val="Fuel_Regu_Station9"/>
      <sheetName val="Labor-Equipment_Rates9"/>
      <sheetName val="4_boq-site(o)9"/>
      <sheetName val="INPUT_DATA_HERE9"/>
      <sheetName val="masonry_works9"/>
      <sheetName val="sum_mdc9"/>
      <sheetName val="business_hotel9"/>
      <sheetName val="GRAND_SUM9"/>
      <sheetName val="COST_REPORT_-_ASGEN_LD_S19"/>
      <sheetName val="2_678M7"/>
      <sheetName val="Navigation_Page7"/>
      <sheetName val="DATA_VALIDATION7"/>
      <sheetName val="Phase_2A_-_REvised7"/>
      <sheetName val="ALUM__LOUVER7"/>
      <sheetName val="Summary_(overall)7"/>
      <sheetName val="Electrical_Pricelist7"/>
      <sheetName val="RFP_Codes7"/>
      <sheetName val="Lookup_Table7"/>
      <sheetName val="RW48_E7"/>
      <sheetName val="Land_Dev't__Ph-16"/>
      <sheetName val="DD_EST_7"/>
      <sheetName val="PHASE_1_REBAR7"/>
      <sheetName val="bi-mnthly_rep_Villa7"/>
      <sheetName val="bridge_#_17"/>
      <sheetName val="GEN_REQ7"/>
      <sheetName val="SD_and_START_UP7"/>
      <sheetName val="sc_PhI_ok6"/>
      <sheetName val="Schedule_S-Curve_(new_scheme)6"/>
      <sheetName val="MU_7"/>
      <sheetName val="temporary_power_ob6"/>
      <sheetName val="building_permit6"/>
      <sheetName val="guardhouse_ob6"/>
      <sheetName val="basis_of_rates_derivation6"/>
      <sheetName val="schedule_of_material_&amp;_finishe6"/>
      <sheetName val="ITB_COST7"/>
      <sheetName val="Pump_Rev7"/>
      <sheetName val="Summary_WG7"/>
      <sheetName val="Construction"/>
      <sheetName val="DERIVATIONS"/>
      <sheetName val="Updated table"/>
      <sheetName val="schedule"/>
      <sheetName val="Contract v Revised"/>
      <sheetName val="retaining walls"/>
      <sheetName val="Projects &amp; Brokers list"/>
      <sheetName val="ph 5"/>
      <sheetName val="supply"/>
      <sheetName val="specialty"/>
      <sheetName val="Civilwks.Deriv"/>
      <sheetName val="Str.Deriv"/>
      <sheetName val="GRSummary"/>
      <sheetName val="ID"/>
      <sheetName val="1610_UG SEWER PIPING"/>
      <sheetName val="Bdown_ISBL"/>
      <sheetName val="Assumptions"/>
      <sheetName val="PCSum"/>
      <sheetName val="인사자료총집계"/>
      <sheetName val="COVER"/>
      <sheetName val="차액보증"/>
      <sheetName val="금액내역서"/>
      <sheetName val="IBASE"/>
      <sheetName val="barchart"/>
      <sheetName val="0200 Siteworks"/>
      <sheetName val="Guestrm, Suites, Cir &amp; Lobby"/>
      <sheetName val="Cable Tray "/>
      <sheetName val="LT Panel Cable Sizing "/>
      <sheetName val="Hidden"/>
      <sheetName val="1. Data Entry"/>
      <sheetName val="derivation"/>
      <sheetName val="DI"/>
      <sheetName val="BulkCheckLibrary"/>
      <sheetName val="wip"/>
      <sheetName val="10.Linkway"/>
      <sheetName val="11.Bus Shelter-Bay"/>
      <sheetName val="Main Bldg."/>
      <sheetName val="Installation"/>
      <sheetName val="CFA"/>
      <sheetName val="Dayworks Rate"/>
      <sheetName val="co-no.2"/>
      <sheetName val="Matls"/>
      <sheetName val="Rates"/>
      <sheetName val="eqpmt"/>
      <sheetName val="BOQ segment2 (PartB)"/>
      <sheetName val="Assumption List"/>
      <sheetName val="Forecast"/>
      <sheetName val="CONPRIS"/>
      <sheetName val="interior"/>
      <sheetName val="take-off(planswift)"/>
      <sheetName val="DERIV"/>
      <sheetName val="EARTHWORKS"/>
      <sheetName val="ICS"/>
      <sheetName val="CS "/>
      <sheetName val="QP1"/>
      <sheetName val="ICS  (2)"/>
      <sheetName val="2.2 Schedule No.Preliminaries"/>
      <sheetName val="CS_"/>
      <sheetName val="ICS__(2)"/>
      <sheetName val="CS_1"/>
      <sheetName val="ICS__(2)1"/>
      <sheetName val="CS_2"/>
      <sheetName val="ICS__(2)2"/>
      <sheetName val="UI"/>
      <sheetName val="26"/>
      <sheetName val="manpower"/>
      <sheetName val="TABLE SUMMARY"/>
      <sheetName val="Zonal Value"/>
      <sheetName val="Budget Summary"/>
      <sheetName val="#REF"/>
      <sheetName val="Factor F Data"/>
      <sheetName val="SUM_Steel-Strc"/>
      <sheetName val="CIF COST ITEM"/>
      <sheetName val="영업소실적"/>
      <sheetName val="CS_3"/>
      <sheetName val="ICS__(2)3"/>
      <sheetName val="Master Equipment List"/>
      <sheetName val="Stl-B"/>
      <sheetName val="Ready Mix Concrete"/>
      <sheetName val="pm"/>
      <sheetName val="March"/>
      <sheetName val="Assump (Static)"/>
      <sheetName val="Subgrade"/>
      <sheetName val="Existing PC Pavement"/>
      <sheetName val="Calendar"/>
      <sheetName val="PL Plumbing"/>
      <sheetName val="HRG BHN"/>
      <sheetName val="BILLING SUMMARY"/>
      <sheetName val="cost breakdown"/>
      <sheetName val="Summary 1b"/>
      <sheetName val="내역"/>
      <sheetName val="Concrete-UPA"/>
      <sheetName val="COMPARATIVE SUMMARY"/>
      <sheetName val="recovered_sheet1"/>
      <sheetName val="Final Schedule"/>
      <sheetName val="Schedule_BOQ"/>
      <sheetName val="Contract BOQ-k"/>
      <sheetName val="From P6"/>
      <sheetName val="schedule percent"/>
      <sheetName val="BOQ (typ-accent)"/>
      <sheetName val="DPA"/>
      <sheetName val="SANBAISU"/>
      <sheetName val="SANTOGO"/>
      <sheetName val="OPER.BUDGET"/>
      <sheetName val="Bill 2 -RETAIL"/>
      <sheetName val="AREA"/>
      <sheetName val="QSI_Cost sheet_StaMesa"/>
      <sheetName val="주식"/>
      <sheetName val="sheet1 (2)"/>
    </sheetNames>
    <sheetDataSet>
      <sheetData sheetId="0">
        <row r="1072">
          <cell r="E1072" t="str">
            <v>400W</v>
          </cell>
        </row>
      </sheetData>
      <sheetData sheetId="1">
        <row r="1072">
          <cell r="E1072" t="str">
            <v>400W</v>
          </cell>
        </row>
      </sheetData>
      <sheetData sheetId="2">
        <row r="1072">
          <cell r="E1072" t="str">
            <v>400W</v>
          </cell>
        </row>
      </sheetData>
      <sheetData sheetId="3">
        <row r="1072">
          <cell r="E1072" t="str">
            <v>400W</v>
          </cell>
        </row>
      </sheetData>
      <sheetData sheetId="4">
        <row r="1072">
          <cell r="E1072" t="str">
            <v>400W</v>
          </cell>
        </row>
      </sheetData>
      <sheetData sheetId="5">
        <row r="1072">
          <cell r="E1072" t="str">
            <v>400W</v>
          </cell>
        </row>
      </sheetData>
      <sheetData sheetId="6">
        <row r="1072">
          <cell r="E1072" t="str">
            <v>400W</v>
          </cell>
        </row>
      </sheetData>
      <sheetData sheetId="7" refreshError="1">
        <row r="1072">
          <cell r="E1072" t="str">
            <v>400W</v>
          </cell>
          <cell r="F1072" t="str">
            <v>400W, FIXTURE (UPLIGHT)</v>
          </cell>
          <cell r="G1072" t="str">
            <v>nr</v>
          </cell>
          <cell r="H1072">
            <v>4</v>
          </cell>
          <cell r="I1072">
            <v>0</v>
          </cell>
          <cell r="J1072">
            <v>0</v>
          </cell>
          <cell r="K1072">
            <v>0</v>
          </cell>
          <cell r="L1072">
            <v>4</v>
          </cell>
          <cell r="N1072">
            <v>6196.4285714285706</v>
          </cell>
          <cell r="O1072">
            <v>1554.53</v>
          </cell>
          <cell r="P1072">
            <v>777.27</v>
          </cell>
        </row>
        <row r="1073">
          <cell r="E1073" t="str">
            <v>DL2</v>
          </cell>
          <cell r="F1073" t="str">
            <v>3X60W, WALL FIXTURE (TYPE DL2)</v>
          </cell>
          <cell r="G1073" t="str">
            <v>nr</v>
          </cell>
          <cell r="H1073">
            <v>6</v>
          </cell>
          <cell r="I1073">
            <v>0</v>
          </cell>
          <cell r="J1073">
            <v>0</v>
          </cell>
          <cell r="K1073">
            <v>0</v>
          </cell>
          <cell r="L1073">
            <v>6</v>
          </cell>
          <cell r="N1073">
            <v>13732.142857142855</v>
          </cell>
          <cell r="O1073">
            <v>777.27</v>
          </cell>
          <cell r="P1073">
            <v>388.63</v>
          </cell>
        </row>
        <row r="1074">
          <cell r="E1074" t="str">
            <v>EMR</v>
          </cell>
          <cell r="F1074" t="str">
            <v>2x25W Halogen, emergency light</v>
          </cell>
          <cell r="G1074" t="str">
            <v>nr</v>
          </cell>
          <cell r="H1074">
            <v>105</v>
          </cell>
          <cell r="I1074">
            <v>0</v>
          </cell>
          <cell r="J1074">
            <v>0</v>
          </cell>
          <cell r="K1074">
            <v>33</v>
          </cell>
          <cell r="L1074">
            <v>72</v>
          </cell>
          <cell r="N1074">
            <v>11399.92</v>
          </cell>
          <cell r="O1074">
            <v>1139.99</v>
          </cell>
          <cell r="P1074">
            <v>570</v>
          </cell>
        </row>
        <row r="1075">
          <cell r="E1075" t="str">
            <v>EP</v>
          </cell>
          <cell r="F1075" t="str">
            <v>2 X 36W aluminum body finish explosion proof</v>
          </cell>
          <cell r="G1075" t="str">
            <v>nr</v>
          </cell>
          <cell r="H1075">
            <v>19</v>
          </cell>
          <cell r="I1075">
            <v>0</v>
          </cell>
          <cell r="J1075">
            <v>0</v>
          </cell>
          <cell r="K1075">
            <v>19</v>
          </cell>
          <cell r="L1075">
            <v>0</v>
          </cell>
          <cell r="N1075">
            <v>40417.879999999997</v>
          </cell>
          <cell r="O1075">
            <v>4041.79</v>
          </cell>
          <cell r="P1075">
            <v>2020.89</v>
          </cell>
        </row>
        <row r="1076">
          <cell r="E1076" t="str">
            <v>EX1</v>
          </cell>
          <cell r="F1076" t="str">
            <v>2x8W, WALL FIXTURE (Type EX1)</v>
          </cell>
          <cell r="G1076" t="str">
            <v xml:space="preserve">nr </v>
          </cell>
          <cell r="H1076">
            <v>270</v>
          </cell>
          <cell r="I1076">
            <v>0</v>
          </cell>
          <cell r="J1076">
            <v>11</v>
          </cell>
          <cell r="K1076">
            <v>0</v>
          </cell>
          <cell r="L1076">
            <v>259</v>
          </cell>
          <cell r="N1076">
            <v>3142.8571428571427</v>
          </cell>
          <cell r="O1076">
            <v>570</v>
          </cell>
          <cell r="P1076">
            <v>285</v>
          </cell>
        </row>
        <row r="1077">
          <cell r="E1077" t="str">
            <v>EXIT</v>
          </cell>
          <cell r="F1077" t="str">
            <v>2X8W exit light c/w 3 hrs. battery pack</v>
          </cell>
          <cell r="G1077" t="str">
            <v>nr</v>
          </cell>
          <cell r="H1077">
            <v>274</v>
          </cell>
          <cell r="I1077">
            <v>97</v>
          </cell>
          <cell r="J1077">
            <v>0</v>
          </cell>
          <cell r="K1077">
            <v>114</v>
          </cell>
          <cell r="L1077">
            <v>63</v>
          </cell>
          <cell r="N1077">
            <v>2839.2857142857142</v>
          </cell>
          <cell r="O1077">
            <v>570</v>
          </cell>
          <cell r="P1077">
            <v>285</v>
          </cell>
        </row>
        <row r="1078">
          <cell r="E1078" t="str">
            <v>FL1</v>
          </cell>
          <cell r="F1078" t="str">
            <v>3 X 36W, 1200 mm x 600 mm (Type FL1)</v>
          </cell>
          <cell r="G1078" t="str">
            <v>nr</v>
          </cell>
          <cell r="H1078">
            <v>1206</v>
          </cell>
          <cell r="I1078">
            <v>8</v>
          </cell>
          <cell r="J1078">
            <v>35</v>
          </cell>
          <cell r="K1078">
            <v>49</v>
          </cell>
          <cell r="L1078">
            <v>1114</v>
          </cell>
          <cell r="N1078">
            <v>2406.25</v>
          </cell>
          <cell r="O1078">
            <v>639.02</v>
          </cell>
          <cell r="P1078">
            <v>319.51</v>
          </cell>
        </row>
        <row r="1079">
          <cell r="E1079" t="str">
            <v>FL10</v>
          </cell>
          <cell r="F1079" t="str">
            <v>3X36W, FIXTURE (TYPE FL10)</v>
          </cell>
          <cell r="G1079" t="str">
            <v>nr</v>
          </cell>
          <cell r="H1079">
            <v>156</v>
          </cell>
          <cell r="I1079">
            <v>0</v>
          </cell>
          <cell r="J1079">
            <v>0</v>
          </cell>
          <cell r="K1079">
            <v>0</v>
          </cell>
          <cell r="L1079">
            <v>156</v>
          </cell>
          <cell r="N1079">
            <v>4352.6785714285706</v>
          </cell>
          <cell r="O1079">
            <v>939.98</v>
          </cell>
          <cell r="P1079">
            <v>469.99</v>
          </cell>
        </row>
        <row r="1080">
          <cell r="E1080" t="str">
            <v>FL11</v>
          </cell>
          <cell r="F1080" t="str">
            <v>1X40W, FIXTURE (TYPE FL11)</v>
          </cell>
          <cell r="G1080" t="str">
            <v>nr</v>
          </cell>
          <cell r="H1080">
            <v>504</v>
          </cell>
          <cell r="I1080">
            <v>0</v>
          </cell>
          <cell r="J1080">
            <v>0</v>
          </cell>
          <cell r="K1080">
            <v>0</v>
          </cell>
          <cell r="L1080">
            <v>504</v>
          </cell>
          <cell r="N1080">
            <v>2973.2142857142853</v>
          </cell>
          <cell r="O1080">
            <v>603.57000000000005</v>
          </cell>
          <cell r="P1080">
            <v>301.79000000000002</v>
          </cell>
        </row>
        <row r="1081">
          <cell r="E1081" t="str">
            <v>FL1A</v>
          </cell>
          <cell r="F1081" t="str">
            <v>3X36W, RECESSED FIXTURE (TYPE FL1A)</v>
          </cell>
          <cell r="G1081" t="str">
            <v>nr</v>
          </cell>
          <cell r="H1081">
            <v>86</v>
          </cell>
          <cell r="I1081">
            <v>0</v>
          </cell>
          <cell r="J1081">
            <v>0</v>
          </cell>
          <cell r="K1081">
            <v>0</v>
          </cell>
          <cell r="L1081">
            <v>86</v>
          </cell>
          <cell r="N1081">
            <v>2767.8571428571427</v>
          </cell>
          <cell r="O1081">
            <v>995.32</v>
          </cell>
          <cell r="P1081">
            <v>497.66</v>
          </cell>
        </row>
        <row r="1082">
          <cell r="E1082" t="str">
            <v>FL1B</v>
          </cell>
          <cell r="F1082" t="str">
            <v xml:space="preserve">3 x 36W, 1200mm x 1600mm, low gear </v>
          </cell>
          <cell r="G1082" t="str">
            <v>nr</v>
          </cell>
          <cell r="H1082">
            <v>7</v>
          </cell>
          <cell r="I1082">
            <v>0</v>
          </cell>
          <cell r="J1082">
            <v>0</v>
          </cell>
          <cell r="K1082">
            <v>7</v>
          </cell>
          <cell r="L1082">
            <v>0</v>
          </cell>
          <cell r="N1082">
            <v>2767.8571428571427</v>
          </cell>
          <cell r="O1082">
            <v>998.01</v>
          </cell>
          <cell r="P1082">
            <v>499.01</v>
          </cell>
        </row>
        <row r="1083">
          <cell r="E1083" t="str">
            <v>FL2</v>
          </cell>
          <cell r="F1083" t="str">
            <v xml:space="preserve">1 X 40W warm daylight, 600mm x 600mm </v>
          </cell>
          <cell r="G1083" t="str">
            <v>nr</v>
          </cell>
          <cell r="H1083">
            <v>27</v>
          </cell>
          <cell r="I1083">
            <v>10</v>
          </cell>
          <cell r="J1083">
            <v>0</v>
          </cell>
          <cell r="K1083">
            <v>2</v>
          </cell>
          <cell r="L1083">
            <v>15</v>
          </cell>
          <cell r="N1083">
            <v>4040.1785714285711</v>
          </cell>
          <cell r="O1083">
            <v>603.58000000000004</v>
          </cell>
          <cell r="P1083">
            <v>301.79000000000002</v>
          </cell>
        </row>
        <row r="1084">
          <cell r="E1084" t="str">
            <v>FL2A</v>
          </cell>
          <cell r="F1084" t="str">
            <v>2X36W, FIXTURE (TYPE FL2A)</v>
          </cell>
          <cell r="G1084" t="str">
            <v>nr</v>
          </cell>
          <cell r="H1084">
            <v>117</v>
          </cell>
          <cell r="I1084">
            <v>0</v>
          </cell>
          <cell r="J1084">
            <v>0</v>
          </cell>
          <cell r="K1084">
            <v>0</v>
          </cell>
          <cell r="L1084">
            <v>117</v>
          </cell>
          <cell r="N1084">
            <v>1683.0357142857142</v>
          </cell>
          <cell r="O1084">
            <v>959.67</v>
          </cell>
          <cell r="P1084">
            <v>479.83</v>
          </cell>
        </row>
        <row r="1085">
          <cell r="E1085" t="str">
            <v>FL3</v>
          </cell>
          <cell r="F1085" t="str">
            <v xml:space="preserve">2 X 28W warm daylight, 600mm x 1200mm </v>
          </cell>
          <cell r="G1085" t="str">
            <v>nr</v>
          </cell>
          <cell r="H1085">
            <v>1370</v>
          </cell>
          <cell r="I1085">
            <v>21</v>
          </cell>
          <cell r="J1085">
            <v>0</v>
          </cell>
          <cell r="K1085">
            <v>0</v>
          </cell>
          <cell r="L1085">
            <v>1349</v>
          </cell>
          <cell r="N1085">
            <v>4178.5714285714284</v>
          </cell>
          <cell r="O1085">
            <v>1752.69</v>
          </cell>
          <cell r="P1085">
            <v>876.34</v>
          </cell>
        </row>
        <row r="1086">
          <cell r="E1086" t="str">
            <v>FL4</v>
          </cell>
          <cell r="F1086" t="str">
            <v>2X36W, RECESSED FIXTURE (TYPE FL4)</v>
          </cell>
          <cell r="G1086" t="str">
            <v>nr</v>
          </cell>
          <cell r="H1086">
            <v>1228</v>
          </cell>
          <cell r="I1086">
            <v>47</v>
          </cell>
          <cell r="J1086">
            <v>0</v>
          </cell>
          <cell r="K1086">
            <v>201</v>
          </cell>
          <cell r="L1086">
            <v>980</v>
          </cell>
          <cell r="N1086">
            <v>2227.6785714285711</v>
          </cell>
          <cell r="O1086">
            <v>646.69000000000005</v>
          </cell>
          <cell r="P1086">
            <v>323.33999999999997</v>
          </cell>
        </row>
        <row r="1087">
          <cell r="E1087" t="str">
            <v>FL4A</v>
          </cell>
          <cell r="F1087" t="str">
            <v>2X36W, SURFACE FIXTURE (TYPE FL4A)</v>
          </cell>
          <cell r="G1087" t="str">
            <v>nr</v>
          </cell>
          <cell r="H1087">
            <v>143</v>
          </cell>
          <cell r="I1087">
            <v>0</v>
          </cell>
          <cell r="J1087">
            <v>0</v>
          </cell>
          <cell r="K1087">
            <v>4</v>
          </cell>
          <cell r="L1087">
            <v>139</v>
          </cell>
          <cell r="N1087">
            <v>1584.8214285714284</v>
          </cell>
          <cell r="O1087">
            <v>1002.88</v>
          </cell>
          <cell r="P1087">
            <v>501.44</v>
          </cell>
        </row>
        <row r="1088">
          <cell r="E1088" t="str">
            <v>FL4B</v>
          </cell>
          <cell r="F1088" t="str">
            <v xml:space="preserve">2 x 36W warm white 600mm x 1200mm HG </v>
          </cell>
          <cell r="G1088" t="str">
            <v>nr</v>
          </cell>
          <cell r="H1088">
            <v>22</v>
          </cell>
          <cell r="I1088">
            <v>0</v>
          </cell>
          <cell r="J1088">
            <v>0</v>
          </cell>
          <cell r="K1088">
            <v>22</v>
          </cell>
          <cell r="L1088">
            <v>0</v>
          </cell>
          <cell r="N1088">
            <v>1584.8214285714284</v>
          </cell>
          <cell r="O1088">
            <v>1002.88</v>
          </cell>
          <cell r="P1088">
            <v>501.44</v>
          </cell>
        </row>
        <row r="1089">
          <cell r="E1089" t="str">
            <v>FL5</v>
          </cell>
          <cell r="F1089" t="str">
            <v>1 X 36W warm white (Type FL5)</v>
          </cell>
          <cell r="G1089" t="str">
            <v>nr</v>
          </cell>
          <cell r="H1089">
            <v>728</v>
          </cell>
          <cell r="I1089">
            <v>648</v>
          </cell>
          <cell r="J1089">
            <v>0</v>
          </cell>
          <cell r="K1089">
            <v>0</v>
          </cell>
          <cell r="L1089">
            <v>80</v>
          </cell>
          <cell r="N1089">
            <v>1691.9642857142856</v>
          </cell>
          <cell r="O1089">
            <v>318.27</v>
          </cell>
          <cell r="P1089">
            <v>159.13</v>
          </cell>
        </row>
        <row r="1090">
          <cell r="E1090" t="str">
            <v>FL6</v>
          </cell>
          <cell r="F1090" t="str">
            <v>1X36W, FIXTURE (TYPE FL6)</v>
          </cell>
          <cell r="G1090" t="str">
            <v>nr</v>
          </cell>
          <cell r="H1090">
            <v>213</v>
          </cell>
          <cell r="I1090">
            <v>7</v>
          </cell>
          <cell r="J1090">
            <v>1</v>
          </cell>
          <cell r="K1090">
            <v>113</v>
          </cell>
          <cell r="L1090">
            <v>92</v>
          </cell>
          <cell r="N1090">
            <v>794.64285714285711</v>
          </cell>
          <cell r="O1090">
            <v>208.41</v>
          </cell>
          <cell r="P1090">
            <v>104.21</v>
          </cell>
        </row>
        <row r="1091">
          <cell r="E1091" t="str">
            <v>FL6B</v>
          </cell>
          <cell r="F1091" t="str">
            <v xml:space="preserve">1 X 36W warm white batten flourescent (Type </v>
          </cell>
          <cell r="G1091" t="str">
            <v>nr</v>
          </cell>
          <cell r="H1091">
            <v>11</v>
          </cell>
          <cell r="I1091">
            <v>11</v>
          </cell>
          <cell r="J1091">
            <v>0</v>
          </cell>
          <cell r="K1091">
            <v>0</v>
          </cell>
          <cell r="L1091">
            <v>0</v>
          </cell>
          <cell r="N1091">
            <v>794.64285714285711</v>
          </cell>
          <cell r="O1091">
            <v>622.96</v>
          </cell>
          <cell r="P1091">
            <v>311.48</v>
          </cell>
        </row>
        <row r="1092">
          <cell r="E1092" t="str">
            <v>FL7</v>
          </cell>
          <cell r="F1092" t="str">
            <v>2X36W, SURFACE FIXTURE (TYPE FL7)</v>
          </cell>
          <cell r="G1092" t="str">
            <v>nr</v>
          </cell>
          <cell r="H1092">
            <v>282</v>
          </cell>
          <cell r="I1092">
            <v>0</v>
          </cell>
          <cell r="J1092">
            <v>9</v>
          </cell>
          <cell r="K1092">
            <v>0</v>
          </cell>
          <cell r="L1092">
            <v>273</v>
          </cell>
          <cell r="N1092">
            <v>1223.2142857142856</v>
          </cell>
          <cell r="O1092">
            <v>285</v>
          </cell>
          <cell r="P1092">
            <v>142.5</v>
          </cell>
        </row>
        <row r="1093">
          <cell r="E1093" t="str">
            <v>FL8</v>
          </cell>
          <cell r="F1093" t="str">
            <v>2X36W, FIXTURE (TYPE FL8)</v>
          </cell>
          <cell r="G1093" t="str">
            <v>nr</v>
          </cell>
          <cell r="H1093">
            <v>11</v>
          </cell>
          <cell r="I1093">
            <v>3</v>
          </cell>
          <cell r="J1093">
            <v>0</v>
          </cell>
          <cell r="K1093">
            <v>0</v>
          </cell>
          <cell r="L1093">
            <v>8</v>
          </cell>
          <cell r="N1093">
            <v>4044.6428571428569</v>
          </cell>
          <cell r="O1093">
            <v>1899.12</v>
          </cell>
          <cell r="P1093">
            <v>949.56</v>
          </cell>
        </row>
        <row r="1094">
          <cell r="E1094" t="str">
            <v>FL9</v>
          </cell>
          <cell r="F1094" t="str">
            <v>3 X 54W (Type FL9)</v>
          </cell>
          <cell r="G1094" t="str">
            <v>nr</v>
          </cell>
          <cell r="H1094">
            <v>32</v>
          </cell>
          <cell r="I1094">
            <v>32</v>
          </cell>
          <cell r="J1094">
            <v>0</v>
          </cell>
          <cell r="K1094">
            <v>0</v>
          </cell>
          <cell r="L1094">
            <v>0</v>
          </cell>
          <cell r="N1094">
            <v>3392.8571428571427</v>
          </cell>
          <cell r="O1094">
            <v>5353.85</v>
          </cell>
          <cell r="P1094">
            <v>2676.93</v>
          </cell>
        </row>
        <row r="1095">
          <cell r="E1095" t="str">
            <v>FLP12</v>
          </cell>
          <cell r="F1095" t="str">
            <v>1X36W, PENDANT FIXTURE (TYPE FLP12)</v>
          </cell>
          <cell r="G1095" t="str">
            <v>nr</v>
          </cell>
          <cell r="H1095">
            <v>202</v>
          </cell>
          <cell r="I1095">
            <v>1</v>
          </cell>
          <cell r="J1095">
            <v>1</v>
          </cell>
          <cell r="K1095">
            <v>170</v>
          </cell>
          <cell r="L1095">
            <v>30</v>
          </cell>
          <cell r="N1095">
            <v>1263.3928571428571</v>
          </cell>
          <cell r="O1095">
            <v>347.18</v>
          </cell>
          <cell r="P1095">
            <v>173.59</v>
          </cell>
        </row>
        <row r="1096">
          <cell r="E1096" t="str">
            <v>FLPE</v>
          </cell>
          <cell r="F1096" t="str">
            <v>2 X 36W cool white explosion proof 1P65</v>
          </cell>
          <cell r="G1096" t="str">
            <v>nr</v>
          </cell>
          <cell r="H1096">
            <v>15</v>
          </cell>
          <cell r="I1096">
            <v>0</v>
          </cell>
          <cell r="J1096">
            <v>0</v>
          </cell>
          <cell r="K1096">
            <v>15</v>
          </cell>
          <cell r="L1096">
            <v>0</v>
          </cell>
          <cell r="N1096">
            <v>26977.678571428569</v>
          </cell>
          <cell r="O1096">
            <v>4041.79</v>
          </cell>
          <cell r="P1096">
            <v>2020.89</v>
          </cell>
        </row>
        <row r="1097">
          <cell r="E1097" t="str">
            <v>FLPE1</v>
          </cell>
          <cell r="F1097" t="str">
            <v>2x36W, PENDANT FIXTURE (Type FLPE1)</v>
          </cell>
          <cell r="G1097" t="str">
            <v xml:space="preserve">nr </v>
          </cell>
          <cell r="H1097">
            <v>13</v>
          </cell>
          <cell r="I1097">
            <v>0</v>
          </cell>
          <cell r="J1097">
            <v>2</v>
          </cell>
          <cell r="K1097">
            <v>0</v>
          </cell>
          <cell r="L1097">
            <v>11</v>
          </cell>
          <cell r="N1097">
            <v>26977.678571428569</v>
          </cell>
          <cell r="O1097">
            <v>694.36</v>
          </cell>
          <cell r="P1097">
            <v>347.18</v>
          </cell>
        </row>
        <row r="1098">
          <cell r="E1098" t="str">
            <v>FLPE2</v>
          </cell>
          <cell r="F1098" t="str">
            <v>(FLPE2)</v>
          </cell>
          <cell r="G1098" t="str">
            <v>nr</v>
          </cell>
          <cell r="H1098">
            <v>5</v>
          </cell>
          <cell r="I1098">
            <v>0</v>
          </cell>
          <cell r="J1098">
            <v>5</v>
          </cell>
          <cell r="K1098">
            <v>0</v>
          </cell>
          <cell r="L1098">
            <v>0</v>
          </cell>
          <cell r="N1098">
            <v>28397.321428571428</v>
          </cell>
          <cell r="O1098">
            <v>3834.52</v>
          </cell>
          <cell r="P1098">
            <v>1917.26</v>
          </cell>
        </row>
        <row r="1099">
          <cell r="E1099" t="str">
            <v>FLS12</v>
          </cell>
          <cell r="F1099" t="str">
            <v>1X36W, FIXTURE (TYPE FLS12)</v>
          </cell>
          <cell r="G1099" t="str">
            <v>nr</v>
          </cell>
          <cell r="H1099">
            <v>7</v>
          </cell>
          <cell r="I1099">
            <v>2</v>
          </cell>
          <cell r="J1099">
            <v>2</v>
          </cell>
          <cell r="K1099">
            <v>0</v>
          </cell>
          <cell r="L1099">
            <v>3</v>
          </cell>
          <cell r="N1099">
            <v>866.07142857142844</v>
          </cell>
          <cell r="O1099">
            <v>310.91000000000003</v>
          </cell>
          <cell r="P1099">
            <v>155.44999999999999</v>
          </cell>
        </row>
        <row r="1100">
          <cell r="E1100" t="str">
            <v>FLSC2</v>
          </cell>
          <cell r="F1100" t="str">
            <v>1X28W, SURFACE FIXTURE (TYPE FLSC2)</v>
          </cell>
          <cell r="G1100" t="str">
            <v>nr</v>
          </cell>
          <cell r="H1100">
            <v>85</v>
          </cell>
          <cell r="I1100">
            <v>4</v>
          </cell>
          <cell r="J1100">
            <v>2</v>
          </cell>
          <cell r="K1100">
            <v>0</v>
          </cell>
          <cell r="L1100">
            <v>79</v>
          </cell>
          <cell r="N1100">
            <v>1857.1428571428569</v>
          </cell>
          <cell r="O1100">
            <v>217.64</v>
          </cell>
          <cell r="P1100">
            <v>108.82</v>
          </cell>
        </row>
        <row r="1101">
          <cell r="E1101" t="str">
            <v>HD1</v>
          </cell>
          <cell r="F1101" t="str">
            <v>1 X 50 MR 16 fixed downlight</v>
          </cell>
          <cell r="G1101" t="str">
            <v>nr</v>
          </cell>
          <cell r="H1101">
            <v>543</v>
          </cell>
          <cell r="I1101">
            <v>60</v>
          </cell>
          <cell r="J1101">
            <v>0</v>
          </cell>
          <cell r="K1101">
            <v>0</v>
          </cell>
          <cell r="L1101">
            <v>483</v>
          </cell>
          <cell r="N1101">
            <v>683.03571428571422</v>
          </cell>
          <cell r="O1101">
            <v>379.93</v>
          </cell>
          <cell r="P1101">
            <v>189.97</v>
          </cell>
        </row>
        <row r="1102">
          <cell r="E1102" t="str">
            <v>HD2</v>
          </cell>
          <cell r="F1102" t="str">
            <v>1X50W, FIXTURE (TYPE HD2)</v>
          </cell>
          <cell r="G1102" t="str">
            <v>nr</v>
          </cell>
          <cell r="H1102">
            <v>154</v>
          </cell>
          <cell r="I1102">
            <v>54</v>
          </cell>
          <cell r="J1102">
            <v>0</v>
          </cell>
          <cell r="K1102">
            <v>0</v>
          </cell>
          <cell r="L1102">
            <v>100</v>
          </cell>
          <cell r="N1102">
            <v>683.03571428571422</v>
          </cell>
          <cell r="O1102">
            <v>392.16</v>
          </cell>
          <cell r="P1102">
            <v>196.08</v>
          </cell>
        </row>
        <row r="1103">
          <cell r="E1103" t="str">
            <v>HD3</v>
          </cell>
          <cell r="F1103" t="str">
            <v>50W Downlight (Type HD3)</v>
          </cell>
          <cell r="G1103" t="str">
            <v>nr</v>
          </cell>
          <cell r="H1103">
            <v>109</v>
          </cell>
          <cell r="I1103">
            <v>16</v>
          </cell>
          <cell r="J1103">
            <v>0</v>
          </cell>
          <cell r="K1103">
            <v>0</v>
          </cell>
          <cell r="L1103">
            <v>93</v>
          </cell>
          <cell r="N1103">
            <v>741.07142857142856</v>
          </cell>
          <cell r="O1103">
            <v>625.76</v>
          </cell>
          <cell r="P1103">
            <v>312.88</v>
          </cell>
        </row>
        <row r="1104">
          <cell r="E1104" t="str">
            <v>INDTYPE</v>
          </cell>
          <cell r="F1104" t="str">
            <v>2x36W INDUSTRIAL TYPE</v>
          </cell>
          <cell r="G1104" t="str">
            <v>nr</v>
          </cell>
          <cell r="H1104">
            <v>57</v>
          </cell>
          <cell r="I1104">
            <v>39</v>
          </cell>
          <cell r="J1104">
            <v>18</v>
          </cell>
          <cell r="K1104">
            <v>0</v>
          </cell>
          <cell r="L1104">
            <v>0</v>
          </cell>
          <cell r="N1104">
            <v>3730.88</v>
          </cell>
          <cell r="O1104">
            <v>373.09</v>
          </cell>
          <cell r="P1104">
            <v>186.54</v>
          </cell>
        </row>
        <row r="1105">
          <cell r="E1105" t="str">
            <v>LBHPS1</v>
          </cell>
          <cell r="F1105" t="str">
            <v>1x40W, SURFACE/ PENDANT FIXTURE</v>
          </cell>
          <cell r="G1105" t="str">
            <v>nr</v>
          </cell>
          <cell r="H1105">
            <v>88</v>
          </cell>
          <cell r="I1105">
            <v>0</v>
          </cell>
          <cell r="J1105">
            <v>88</v>
          </cell>
          <cell r="K1105">
            <v>0</v>
          </cell>
          <cell r="L1105">
            <v>0</v>
          </cell>
          <cell r="N1105">
            <v>16366.071428571428</v>
          </cell>
          <cell r="O1105">
            <v>777.27</v>
          </cell>
          <cell r="P1105">
            <v>388.63</v>
          </cell>
        </row>
        <row r="1106">
          <cell r="E1106" t="str">
            <v>METAL</v>
          </cell>
          <cell r="F1106" t="str">
            <v>250W METAL HALIDE</v>
          </cell>
          <cell r="G1106" t="str">
            <v>nr</v>
          </cell>
          <cell r="H1106">
            <v>4</v>
          </cell>
          <cell r="I1106">
            <v>0</v>
          </cell>
          <cell r="J1106">
            <v>4</v>
          </cell>
          <cell r="K1106">
            <v>0</v>
          </cell>
          <cell r="L1106">
            <v>0</v>
          </cell>
          <cell r="N1106">
            <v>11399.92</v>
          </cell>
          <cell r="O1106">
            <v>1139.99</v>
          </cell>
          <cell r="P1106">
            <v>570</v>
          </cell>
        </row>
        <row r="1107">
          <cell r="E1107" t="str">
            <v>OBS</v>
          </cell>
          <cell r="F1107" t="str">
            <v>OBSTRUCTION LIGHT</v>
          </cell>
          <cell r="G1107" t="str">
            <v>nr</v>
          </cell>
          <cell r="H1107">
            <v>23</v>
          </cell>
          <cell r="I1107">
            <v>0</v>
          </cell>
          <cell r="J1107">
            <v>1</v>
          </cell>
          <cell r="K1107">
            <v>0</v>
          </cell>
          <cell r="L1107">
            <v>22</v>
          </cell>
          <cell r="N1107">
            <v>9330.3571428571413</v>
          </cell>
          <cell r="O1107">
            <v>1347.26</v>
          </cell>
          <cell r="P1107">
            <v>673.63</v>
          </cell>
        </row>
        <row r="1108">
          <cell r="E1108" t="str">
            <v>PL1</v>
          </cell>
          <cell r="F1108" t="str">
            <v>2 X 18W warm daylight (TypePL1)</v>
          </cell>
          <cell r="G1108" t="str">
            <v>nr</v>
          </cell>
          <cell r="H1108">
            <v>4372</v>
          </cell>
          <cell r="I1108">
            <v>350</v>
          </cell>
          <cell r="J1108">
            <v>1</v>
          </cell>
          <cell r="K1108">
            <v>0</v>
          </cell>
          <cell r="L1108">
            <v>4021</v>
          </cell>
          <cell r="N1108">
            <v>1080.3571428571427</v>
          </cell>
          <cell r="O1108">
            <v>507.82</v>
          </cell>
          <cell r="P1108">
            <v>253.91</v>
          </cell>
        </row>
        <row r="1109">
          <cell r="E1109" t="str">
            <v>PL1B</v>
          </cell>
          <cell r="F1109" t="str">
            <v>2 x 18W warm daylight (Type PL1B)</v>
          </cell>
          <cell r="G1109" t="str">
            <v>nr</v>
          </cell>
          <cell r="H1109">
            <v>2</v>
          </cell>
          <cell r="I1109">
            <v>0</v>
          </cell>
          <cell r="J1109">
            <v>0</v>
          </cell>
          <cell r="K1109">
            <v>2</v>
          </cell>
          <cell r="L1109">
            <v>0</v>
          </cell>
          <cell r="N1109">
            <v>1080.3571428571427</v>
          </cell>
          <cell r="O1109">
            <v>864.11</v>
          </cell>
          <cell r="P1109">
            <v>432.06</v>
          </cell>
        </row>
        <row r="1110">
          <cell r="E1110" t="str">
            <v>PL2</v>
          </cell>
          <cell r="F1110" t="str">
            <v>1 X 18W warm daylight downlight (Type PL2)</v>
          </cell>
          <cell r="G1110" t="str">
            <v>nr</v>
          </cell>
          <cell r="H1110">
            <v>2188</v>
          </cell>
          <cell r="I1110">
            <v>82</v>
          </cell>
          <cell r="J1110">
            <v>0</v>
          </cell>
          <cell r="K1110">
            <v>362</v>
          </cell>
          <cell r="L1110">
            <v>1744</v>
          </cell>
          <cell r="N1110">
            <v>687.5</v>
          </cell>
          <cell r="O1110">
            <v>449.16</v>
          </cell>
          <cell r="P1110">
            <v>224.58</v>
          </cell>
        </row>
        <row r="1111">
          <cell r="E1111" t="str">
            <v>PL2B</v>
          </cell>
          <cell r="F1111" t="str">
            <v>1 x 18W warm daylight downlight</v>
          </cell>
          <cell r="G1111" t="str">
            <v>nr</v>
          </cell>
          <cell r="H1111">
            <v>2</v>
          </cell>
          <cell r="I1111">
            <v>0</v>
          </cell>
          <cell r="J1111">
            <v>0</v>
          </cell>
          <cell r="K1111">
            <v>2</v>
          </cell>
          <cell r="L1111">
            <v>0</v>
          </cell>
          <cell r="N1111">
            <v>687.5</v>
          </cell>
          <cell r="O1111">
            <v>864.11</v>
          </cell>
          <cell r="P1111">
            <v>432.06</v>
          </cell>
        </row>
        <row r="1112">
          <cell r="E1112" t="str">
            <v>PL3</v>
          </cell>
          <cell r="F1112" t="str">
            <v>1 X 18W downlight (Type PL3)</v>
          </cell>
          <cell r="G1112" t="str">
            <v>nr</v>
          </cell>
          <cell r="H1112">
            <v>30</v>
          </cell>
          <cell r="I1112">
            <v>30</v>
          </cell>
          <cell r="J1112">
            <v>0</v>
          </cell>
          <cell r="K1112">
            <v>0</v>
          </cell>
          <cell r="L1112">
            <v>0</v>
          </cell>
          <cell r="N1112">
            <v>767.85714285714278</v>
          </cell>
          <cell r="O1112">
            <v>449.16</v>
          </cell>
          <cell r="P1112">
            <v>224.58</v>
          </cell>
        </row>
        <row r="1113">
          <cell r="E1113" t="str">
            <v>PL4</v>
          </cell>
          <cell r="F1113" t="str">
            <v xml:space="preserve">2 X 18W warm daylight, downlight, IP65 </v>
          </cell>
          <cell r="G1113" t="str">
            <v>nr</v>
          </cell>
          <cell r="H1113">
            <v>28</v>
          </cell>
          <cell r="I1113">
            <v>28</v>
          </cell>
          <cell r="J1113">
            <v>0</v>
          </cell>
          <cell r="K1113">
            <v>0</v>
          </cell>
          <cell r="L1113">
            <v>0</v>
          </cell>
          <cell r="N1113">
            <v>1200.8928571428571</v>
          </cell>
          <cell r="O1113">
            <v>704.73</v>
          </cell>
          <cell r="P1113">
            <v>352.36</v>
          </cell>
        </row>
        <row r="1114">
          <cell r="E1114" t="str">
            <v>PL5</v>
          </cell>
          <cell r="F1114" t="str">
            <v>2X32W, RECESSED FIXTURE (TYPE PL5)</v>
          </cell>
          <cell r="G1114" t="str">
            <v>nr</v>
          </cell>
          <cell r="H1114">
            <v>224</v>
          </cell>
          <cell r="I1114">
            <v>0</v>
          </cell>
          <cell r="J1114">
            <v>0</v>
          </cell>
          <cell r="K1114">
            <v>0</v>
          </cell>
          <cell r="L1114">
            <v>224</v>
          </cell>
          <cell r="N1114">
            <v>1352.6785714285713</v>
          </cell>
          <cell r="O1114">
            <v>538.91</v>
          </cell>
          <cell r="P1114">
            <v>269.45</v>
          </cell>
        </row>
        <row r="1115">
          <cell r="E1115" t="str">
            <v>PL6</v>
          </cell>
          <cell r="F1115" t="str">
            <v>1X70W, RECESSED FIXTURE (TYPE PL6)</v>
          </cell>
          <cell r="G1115" t="str">
            <v>nr</v>
          </cell>
          <cell r="H1115">
            <v>216</v>
          </cell>
          <cell r="I1115">
            <v>0</v>
          </cell>
          <cell r="J1115">
            <v>0</v>
          </cell>
          <cell r="K1115">
            <v>0</v>
          </cell>
          <cell r="L1115">
            <v>216</v>
          </cell>
          <cell r="N1115">
            <v>3035.7142857142853</v>
          </cell>
          <cell r="O1115">
            <v>1796.11</v>
          </cell>
          <cell r="P1115">
            <v>898.05</v>
          </cell>
        </row>
        <row r="1116">
          <cell r="E1116" t="str">
            <v>PL7</v>
          </cell>
          <cell r="F1116" t="str">
            <v>(TYPE PL7)</v>
          </cell>
          <cell r="G1116" t="str">
            <v>nr</v>
          </cell>
          <cell r="H1116">
            <v>816</v>
          </cell>
          <cell r="I1116">
            <v>0</v>
          </cell>
          <cell r="J1116">
            <v>0</v>
          </cell>
          <cell r="K1116">
            <v>0</v>
          </cell>
          <cell r="L1116">
            <v>816</v>
          </cell>
          <cell r="N1116">
            <v>513.39285714285711</v>
          </cell>
          <cell r="O1116">
            <v>725.45</v>
          </cell>
          <cell r="P1116">
            <v>362.72</v>
          </cell>
        </row>
        <row r="1117">
          <cell r="E1117" t="str">
            <v>SD1</v>
          </cell>
          <cell r="F1117" t="str">
            <v>1X58W, FIXTURE (TYPE SD1)</v>
          </cell>
          <cell r="G1117" t="str">
            <v>nr</v>
          </cell>
          <cell r="H1117">
            <v>1431</v>
          </cell>
          <cell r="I1117">
            <v>0</v>
          </cell>
          <cell r="J1117">
            <v>0</v>
          </cell>
          <cell r="K1117">
            <v>1197</v>
          </cell>
          <cell r="L1117">
            <v>234</v>
          </cell>
          <cell r="N1117">
            <v>1459.8214285714284</v>
          </cell>
          <cell r="O1117">
            <v>466.36</v>
          </cell>
          <cell r="P1117">
            <v>233.18</v>
          </cell>
        </row>
        <row r="1118">
          <cell r="E1118" t="str">
            <v>SD1B</v>
          </cell>
          <cell r="F1118" t="str">
            <v xml:space="preserve">1 x 58W cool white polycarbonate body </v>
          </cell>
          <cell r="G1118" t="str">
            <v>nr</v>
          </cell>
          <cell r="H1118">
            <v>126</v>
          </cell>
          <cell r="I1118">
            <v>1</v>
          </cell>
          <cell r="J1118">
            <v>0</v>
          </cell>
          <cell r="K1118">
            <v>125</v>
          </cell>
          <cell r="L1118">
            <v>0</v>
          </cell>
          <cell r="N1118">
            <v>1459.8214285714284</v>
          </cell>
          <cell r="O1118">
            <v>880.9</v>
          </cell>
          <cell r="P1118">
            <v>440.45</v>
          </cell>
        </row>
        <row r="1119">
          <cell r="E1119" t="str">
            <v>SD2</v>
          </cell>
          <cell r="F1119" t="str">
            <v>1 X 36W cool white (Type SD2)</v>
          </cell>
          <cell r="G1119" t="str">
            <v>nr</v>
          </cell>
          <cell r="H1119">
            <v>399</v>
          </cell>
          <cell r="I1119">
            <v>14</v>
          </cell>
          <cell r="J1119">
            <v>59</v>
          </cell>
          <cell r="K1119">
            <v>20</v>
          </cell>
          <cell r="L1119">
            <v>306</v>
          </cell>
          <cell r="N1119">
            <v>1459.8214285714284</v>
          </cell>
          <cell r="O1119">
            <v>252.04</v>
          </cell>
          <cell r="P1119">
            <v>126.02</v>
          </cell>
        </row>
        <row r="1120">
          <cell r="E1120" t="str">
            <v>SD2B</v>
          </cell>
          <cell r="F1120" t="str">
            <v>1 x 36W cool white powdered coated sheet</v>
          </cell>
          <cell r="G1120" t="str">
            <v>nr</v>
          </cell>
          <cell r="H1120">
            <v>111</v>
          </cell>
          <cell r="I1120">
            <v>63</v>
          </cell>
          <cell r="J1120">
            <v>0</v>
          </cell>
          <cell r="K1120">
            <v>38</v>
          </cell>
          <cell r="L1120">
            <v>10</v>
          </cell>
          <cell r="N1120">
            <v>1459.8214285714284</v>
          </cell>
          <cell r="O1120">
            <v>607.30999999999995</v>
          </cell>
          <cell r="P1120">
            <v>303.64999999999998</v>
          </cell>
        </row>
        <row r="1121">
          <cell r="E1121" t="str">
            <v>SD3</v>
          </cell>
          <cell r="F1121" t="str">
            <v>2X36W, FIXTURE (TYPE SD3)</v>
          </cell>
          <cell r="G1121" t="str">
            <v>nr</v>
          </cell>
          <cell r="H1121">
            <v>1</v>
          </cell>
          <cell r="I1121">
            <v>0</v>
          </cell>
          <cell r="J1121">
            <v>0</v>
          </cell>
          <cell r="K1121">
            <v>0</v>
          </cell>
          <cell r="L1121">
            <v>1</v>
          </cell>
          <cell r="N1121">
            <v>1263.3928571428571</v>
          </cell>
          <cell r="O1121">
            <v>154.41999999999999</v>
          </cell>
          <cell r="P1121">
            <v>77.209999999999994</v>
          </cell>
        </row>
        <row r="1122">
          <cell r="E1122" t="str">
            <v>SD4</v>
          </cell>
          <cell r="F1122" t="str">
            <v>150W, WALL FIXTURE (Type SD4)</v>
          </cell>
          <cell r="G1122" t="str">
            <v>nr</v>
          </cell>
          <cell r="H1122">
            <v>3</v>
          </cell>
          <cell r="I1122">
            <v>0</v>
          </cell>
          <cell r="J1122">
            <v>3</v>
          </cell>
          <cell r="K1122">
            <v>0</v>
          </cell>
          <cell r="L1122">
            <v>0</v>
          </cell>
          <cell r="N1122">
            <v>9845.3799999999992</v>
          </cell>
          <cell r="O1122">
            <v>984.54</v>
          </cell>
          <cell r="P1122">
            <v>492.27</v>
          </cell>
        </row>
        <row r="1123">
          <cell r="E1123" t="str">
            <v>SD5</v>
          </cell>
          <cell r="F1123" t="str">
            <v>2x36W, SURFACE FIXTURE (Type SD5)</v>
          </cell>
          <cell r="G1123" t="str">
            <v>nr</v>
          </cell>
          <cell r="H1123">
            <v>8</v>
          </cell>
          <cell r="I1123">
            <v>0</v>
          </cell>
          <cell r="J1123">
            <v>8</v>
          </cell>
          <cell r="K1123">
            <v>0</v>
          </cell>
          <cell r="L1123">
            <v>0</v>
          </cell>
          <cell r="N1123">
            <v>4852.6785714285706</v>
          </cell>
          <cell r="O1123">
            <v>285</v>
          </cell>
          <cell r="P1123">
            <v>142.5</v>
          </cell>
        </row>
        <row r="1124">
          <cell r="E1124" t="str">
            <v>SD5x</v>
          </cell>
          <cell r="F1124" t="str">
            <v>100W METAL HALIDE (Type SD5X)</v>
          </cell>
          <cell r="G1124" t="str">
            <v xml:space="preserve">nr </v>
          </cell>
          <cell r="H1124">
            <v>7</v>
          </cell>
          <cell r="I1124">
            <v>0</v>
          </cell>
          <cell r="J1124">
            <v>7</v>
          </cell>
          <cell r="K1124">
            <v>0</v>
          </cell>
          <cell r="L1124">
            <v>0</v>
          </cell>
          <cell r="N1124">
            <v>9845.3799999999992</v>
          </cell>
          <cell r="O1124">
            <v>984.54</v>
          </cell>
          <cell r="P1124">
            <v>492.27</v>
          </cell>
        </row>
        <row r="1125">
          <cell r="E1125" t="str">
            <v>SD5A</v>
          </cell>
          <cell r="F1125" t="str">
            <v>1X70W, FIXTURE (TYPE SD5A)</v>
          </cell>
          <cell r="G1125" t="str">
            <v>nr</v>
          </cell>
          <cell r="H1125">
            <v>37</v>
          </cell>
          <cell r="I1125">
            <v>16</v>
          </cell>
          <cell r="J1125">
            <v>0</v>
          </cell>
          <cell r="K1125">
            <v>0</v>
          </cell>
          <cell r="L1125">
            <v>21</v>
          </cell>
          <cell r="N1125">
            <v>4852.6785714285706</v>
          </cell>
          <cell r="O1125">
            <v>1220.83</v>
          </cell>
          <cell r="P1125">
            <v>610.41</v>
          </cell>
        </row>
        <row r="1126">
          <cell r="E1126" t="str">
            <v>SD8</v>
          </cell>
          <cell r="F1126" t="str">
            <v>1 X 70W metal halide column uplight</v>
          </cell>
          <cell r="G1126" t="str">
            <v>nr</v>
          </cell>
          <cell r="H1126">
            <v>10</v>
          </cell>
          <cell r="I1126">
            <v>10</v>
          </cell>
          <cell r="J1126">
            <v>0</v>
          </cell>
          <cell r="K1126">
            <v>0</v>
          </cell>
          <cell r="L1126">
            <v>0</v>
          </cell>
          <cell r="N1126">
            <v>8116.0714285714275</v>
          </cell>
          <cell r="O1126">
            <v>725.45</v>
          </cell>
          <cell r="P1126">
            <v>362.73</v>
          </cell>
        </row>
        <row r="1127">
          <cell r="E1127" t="str">
            <v>SD9</v>
          </cell>
          <cell r="F1127" t="str">
            <v xml:space="preserve">1 X 28W circular flourescent lamp </v>
          </cell>
          <cell r="G1127" t="str">
            <v>nr</v>
          </cell>
          <cell r="H1127">
            <v>44</v>
          </cell>
          <cell r="I1127">
            <v>44</v>
          </cell>
          <cell r="J1127">
            <v>0</v>
          </cell>
          <cell r="K1127">
            <v>0</v>
          </cell>
          <cell r="L1127">
            <v>0</v>
          </cell>
          <cell r="N1127">
            <v>6196.4285714285706</v>
          </cell>
          <cell r="O1127">
            <v>310.91000000000003</v>
          </cell>
          <cell r="P1127">
            <v>155.44999999999999</v>
          </cell>
        </row>
        <row r="1128">
          <cell r="E1128" t="str">
            <v>VT</v>
          </cell>
          <cell r="F1128" t="str">
            <v>1 x 36W cool white policarbonate body</v>
          </cell>
          <cell r="G1128" t="str">
            <v>nr</v>
          </cell>
          <cell r="H1128">
            <v>11</v>
          </cell>
          <cell r="I1128">
            <v>0</v>
          </cell>
          <cell r="J1128">
            <v>0</v>
          </cell>
          <cell r="K1128">
            <v>11</v>
          </cell>
          <cell r="L1128">
            <v>0</v>
          </cell>
          <cell r="N1128">
            <v>1459.8214285714284</v>
          </cell>
          <cell r="O1128">
            <v>473.1</v>
          </cell>
          <cell r="P1128">
            <v>236.55</v>
          </cell>
        </row>
        <row r="1129">
          <cell r="E1129" t="str">
            <v>WLx</v>
          </cell>
          <cell r="F1129" t="str">
            <v>2x25W, WALL FIXTURE</v>
          </cell>
          <cell r="G1129" t="str">
            <v>nr</v>
          </cell>
          <cell r="H1129">
            <v>30</v>
          </cell>
          <cell r="I1129">
            <v>0</v>
          </cell>
          <cell r="J1129">
            <v>30</v>
          </cell>
          <cell r="K1129">
            <v>0</v>
          </cell>
          <cell r="L1129">
            <v>0</v>
          </cell>
          <cell r="N1129">
            <v>5181.78</v>
          </cell>
          <cell r="O1129">
            <v>518.17999999999995</v>
          </cell>
          <cell r="P1129">
            <v>259.08999999999997</v>
          </cell>
        </row>
        <row r="1130">
          <cell r="E1130" t="str">
            <v>WL</v>
          </cell>
          <cell r="F1130" t="str">
            <v>1X60W, FIXTURE (TYPE WL)</v>
          </cell>
          <cell r="G1130" t="str">
            <v>nr</v>
          </cell>
          <cell r="H1130">
            <v>21</v>
          </cell>
          <cell r="I1130">
            <v>0</v>
          </cell>
          <cell r="J1130">
            <v>0</v>
          </cell>
          <cell r="K1130">
            <v>0</v>
          </cell>
          <cell r="L1130">
            <v>21</v>
          </cell>
          <cell r="N1130">
            <v>973.21428571428567</v>
          </cell>
          <cell r="O1130">
            <v>404.18</v>
          </cell>
          <cell r="P1130">
            <v>202.09</v>
          </cell>
        </row>
        <row r="1131">
          <cell r="E1131" t="str">
            <v>WL3</v>
          </cell>
          <cell r="F1131" t="str">
            <v xml:space="preserve">1 X 26W weatherproof outdoor decorative </v>
          </cell>
          <cell r="G1131" t="str">
            <v>nr</v>
          </cell>
          <cell r="H1131">
            <v>129</v>
          </cell>
          <cell r="I1131">
            <v>32</v>
          </cell>
          <cell r="J1131">
            <v>45</v>
          </cell>
          <cell r="K1131">
            <v>0</v>
          </cell>
          <cell r="L1131">
            <v>52</v>
          </cell>
          <cell r="N1131">
            <v>4041.82</v>
          </cell>
          <cell r="O1131">
            <v>404.18</v>
          </cell>
          <cell r="P1131">
            <v>202.09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ow r="1072">
          <cell r="E1072" t="str">
            <v>400W</v>
          </cell>
        </row>
      </sheetData>
      <sheetData sheetId="31">
        <row r="1072">
          <cell r="E1072" t="str">
            <v>400W</v>
          </cell>
        </row>
      </sheetData>
      <sheetData sheetId="32">
        <row r="1072">
          <cell r="E1072" t="str">
            <v>400W</v>
          </cell>
        </row>
      </sheetData>
      <sheetData sheetId="33">
        <row r="1072">
          <cell r="E1072" t="str">
            <v>400W</v>
          </cell>
        </row>
      </sheetData>
      <sheetData sheetId="34">
        <row r="1072">
          <cell r="E1072" t="str">
            <v>400W</v>
          </cell>
        </row>
      </sheetData>
      <sheetData sheetId="35"/>
      <sheetData sheetId="36">
        <row r="1072">
          <cell r="E1072" t="str">
            <v>400W</v>
          </cell>
        </row>
      </sheetData>
      <sheetData sheetId="37">
        <row r="1072">
          <cell r="E1072" t="str">
            <v>400W</v>
          </cell>
        </row>
      </sheetData>
      <sheetData sheetId="38"/>
      <sheetData sheetId="39">
        <row r="1072">
          <cell r="E1072" t="str">
            <v>400W</v>
          </cell>
        </row>
      </sheetData>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ow r="1072">
          <cell r="E1072" t="str">
            <v>400W</v>
          </cell>
        </row>
      </sheetData>
      <sheetData sheetId="74">
        <row r="1072">
          <cell r="E1072" t="str">
            <v>400W</v>
          </cell>
        </row>
      </sheetData>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ow r="1072">
          <cell r="E1072" t="str">
            <v>400W</v>
          </cell>
        </row>
      </sheetData>
      <sheetData sheetId="90"/>
      <sheetData sheetId="91"/>
      <sheetData sheetId="92">
        <row r="1072">
          <cell r="E1072" t="str">
            <v>400W</v>
          </cell>
        </row>
      </sheetData>
      <sheetData sheetId="93">
        <row r="1072">
          <cell r="E1072" t="str">
            <v>400W</v>
          </cell>
        </row>
      </sheetData>
      <sheetData sheetId="94"/>
      <sheetData sheetId="95">
        <row r="1072">
          <cell r="E1072" t="str">
            <v>400W</v>
          </cell>
        </row>
      </sheetData>
      <sheetData sheetId="96">
        <row r="1072">
          <cell r="E1072" t="str">
            <v>400W</v>
          </cell>
        </row>
      </sheetData>
      <sheetData sheetId="97">
        <row r="1072">
          <cell r="E1072" t="str">
            <v>400W</v>
          </cell>
        </row>
      </sheetData>
      <sheetData sheetId="98">
        <row r="1072">
          <cell r="E1072" t="str">
            <v>400W</v>
          </cell>
        </row>
      </sheetData>
      <sheetData sheetId="99">
        <row r="1072">
          <cell r="E1072" t="str">
            <v>400W</v>
          </cell>
        </row>
      </sheetData>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ow r="1072">
          <cell r="E1072" t="str">
            <v>400W</v>
          </cell>
        </row>
      </sheetData>
      <sheetData sheetId="118">
        <row r="1072">
          <cell r="E1072" t="str">
            <v>400W</v>
          </cell>
        </row>
      </sheetData>
      <sheetData sheetId="119">
        <row r="1072">
          <cell r="E1072" t="str">
            <v>400W</v>
          </cell>
        </row>
      </sheetData>
      <sheetData sheetId="120">
        <row r="1072">
          <cell r="E1072" t="str">
            <v>400W</v>
          </cell>
        </row>
      </sheetData>
      <sheetData sheetId="121">
        <row r="1072">
          <cell r="E1072" t="str">
            <v>400W</v>
          </cell>
        </row>
      </sheetData>
      <sheetData sheetId="122">
        <row r="1072">
          <cell r="E1072" t="str">
            <v>400W</v>
          </cell>
        </row>
      </sheetData>
      <sheetData sheetId="123">
        <row r="1072">
          <cell r="E1072" t="str">
            <v>400W</v>
          </cell>
        </row>
      </sheetData>
      <sheetData sheetId="124">
        <row r="1072">
          <cell r="E1072" t="str">
            <v>400W</v>
          </cell>
        </row>
      </sheetData>
      <sheetData sheetId="125">
        <row r="1072">
          <cell r="E1072" t="str">
            <v>400W</v>
          </cell>
        </row>
      </sheetData>
      <sheetData sheetId="126">
        <row r="1072">
          <cell r="E1072" t="str">
            <v>400W</v>
          </cell>
        </row>
      </sheetData>
      <sheetData sheetId="127">
        <row r="1072">
          <cell r="E1072" t="str">
            <v>400W</v>
          </cell>
        </row>
      </sheetData>
      <sheetData sheetId="128">
        <row r="1072">
          <cell r="E1072" t="str">
            <v>400W</v>
          </cell>
        </row>
      </sheetData>
      <sheetData sheetId="129">
        <row r="1072">
          <cell r="E1072" t="str">
            <v>400W</v>
          </cell>
        </row>
      </sheetData>
      <sheetData sheetId="130">
        <row r="1072">
          <cell r="E1072" t="str">
            <v>400W</v>
          </cell>
        </row>
      </sheetData>
      <sheetData sheetId="131">
        <row r="1072">
          <cell r="E1072" t="str">
            <v>400W</v>
          </cell>
        </row>
      </sheetData>
      <sheetData sheetId="132">
        <row r="1072">
          <cell r="E1072" t="str">
            <v>400W</v>
          </cell>
        </row>
      </sheetData>
      <sheetData sheetId="133">
        <row r="1072">
          <cell r="E1072" t="str">
            <v>400W</v>
          </cell>
        </row>
      </sheetData>
      <sheetData sheetId="134"/>
      <sheetData sheetId="135">
        <row r="1072">
          <cell r="E1072" t="str">
            <v>400W</v>
          </cell>
        </row>
      </sheetData>
      <sheetData sheetId="136">
        <row r="1072">
          <cell r="E1072" t="str">
            <v>400W</v>
          </cell>
        </row>
      </sheetData>
      <sheetData sheetId="137">
        <row r="1072">
          <cell r="E1072" t="str">
            <v>400W</v>
          </cell>
        </row>
      </sheetData>
      <sheetData sheetId="138">
        <row r="1072">
          <cell r="E1072" t="str">
            <v>400W</v>
          </cell>
        </row>
      </sheetData>
      <sheetData sheetId="139" refreshError="1"/>
      <sheetData sheetId="140"/>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ow r="1072">
          <cell r="E1072" t="str">
            <v>400W</v>
          </cell>
        </row>
      </sheetData>
      <sheetData sheetId="220">
        <row r="1072">
          <cell r="E1072" t="str">
            <v>400W</v>
          </cell>
        </row>
      </sheetData>
      <sheetData sheetId="221">
        <row r="1072">
          <cell r="E1072" t="str">
            <v>400W</v>
          </cell>
        </row>
      </sheetData>
      <sheetData sheetId="222">
        <row r="1072">
          <cell r="E1072" t="str">
            <v>400W</v>
          </cell>
        </row>
      </sheetData>
      <sheetData sheetId="223">
        <row r="1072">
          <cell r="E1072" t="str">
            <v>400W</v>
          </cell>
        </row>
      </sheetData>
      <sheetData sheetId="224">
        <row r="1072">
          <cell r="E1072" t="str">
            <v>400W</v>
          </cell>
        </row>
      </sheetData>
      <sheetData sheetId="225">
        <row r="1072">
          <cell r="E1072" t="str">
            <v>400W</v>
          </cell>
        </row>
      </sheetData>
      <sheetData sheetId="226">
        <row r="1072">
          <cell r="E1072" t="str">
            <v>400W</v>
          </cell>
        </row>
      </sheetData>
      <sheetData sheetId="227">
        <row r="1072">
          <cell r="E1072" t="str">
            <v>400W</v>
          </cell>
        </row>
      </sheetData>
      <sheetData sheetId="228">
        <row r="1072">
          <cell r="E1072" t="str">
            <v>400W</v>
          </cell>
        </row>
      </sheetData>
      <sheetData sheetId="229">
        <row r="1072">
          <cell r="E1072" t="str">
            <v>400W</v>
          </cell>
        </row>
      </sheetData>
      <sheetData sheetId="230">
        <row r="1072">
          <cell r="E1072" t="str">
            <v>400W</v>
          </cell>
        </row>
      </sheetData>
      <sheetData sheetId="231">
        <row r="1072">
          <cell r="E1072" t="str">
            <v>400W</v>
          </cell>
        </row>
      </sheetData>
      <sheetData sheetId="232">
        <row r="1072">
          <cell r="E1072" t="str">
            <v>400W</v>
          </cell>
        </row>
      </sheetData>
      <sheetData sheetId="233">
        <row r="1072">
          <cell r="E1072" t="str">
            <v>400W</v>
          </cell>
        </row>
      </sheetData>
      <sheetData sheetId="234">
        <row r="1072">
          <cell r="E1072" t="str">
            <v>400W</v>
          </cell>
        </row>
      </sheetData>
      <sheetData sheetId="235">
        <row r="1072">
          <cell r="E1072" t="str">
            <v>400W</v>
          </cell>
        </row>
      </sheetData>
      <sheetData sheetId="236"/>
      <sheetData sheetId="237"/>
      <sheetData sheetId="238"/>
      <sheetData sheetId="239"/>
      <sheetData sheetId="240"/>
      <sheetData sheetId="241"/>
      <sheetData sheetId="242">
        <row r="1072">
          <cell r="E1072" t="str">
            <v>400W</v>
          </cell>
        </row>
      </sheetData>
      <sheetData sheetId="243">
        <row r="1072">
          <cell r="E1072" t="str">
            <v>400W</v>
          </cell>
        </row>
      </sheetData>
      <sheetData sheetId="244">
        <row r="1072">
          <cell r="E1072" t="str">
            <v>400W</v>
          </cell>
        </row>
      </sheetData>
      <sheetData sheetId="245">
        <row r="1072">
          <cell r="E1072" t="str">
            <v>400W</v>
          </cell>
        </row>
      </sheetData>
      <sheetData sheetId="246">
        <row r="1072">
          <cell r="E1072" t="str">
            <v>400W</v>
          </cell>
        </row>
      </sheetData>
      <sheetData sheetId="247">
        <row r="1072">
          <cell r="E1072" t="str">
            <v>400W</v>
          </cell>
        </row>
      </sheetData>
      <sheetData sheetId="248">
        <row r="1072">
          <cell r="E1072" t="str">
            <v>400W</v>
          </cell>
        </row>
      </sheetData>
      <sheetData sheetId="249">
        <row r="1072">
          <cell r="E1072" t="str">
            <v>400W</v>
          </cell>
        </row>
      </sheetData>
      <sheetData sheetId="250">
        <row r="1072">
          <cell r="E1072" t="str">
            <v>400W</v>
          </cell>
        </row>
      </sheetData>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row r="1072">
          <cell r="E1072" t="str">
            <v>400W</v>
          </cell>
        </row>
      </sheetData>
      <sheetData sheetId="270">
        <row r="1072">
          <cell r="E1072" t="str">
            <v>400W</v>
          </cell>
        </row>
      </sheetData>
      <sheetData sheetId="271">
        <row r="1072">
          <cell r="E1072" t="str">
            <v>400W</v>
          </cell>
        </row>
      </sheetData>
      <sheetData sheetId="272">
        <row r="1072">
          <cell r="E1072" t="str">
            <v>400W</v>
          </cell>
        </row>
      </sheetData>
      <sheetData sheetId="273">
        <row r="1072">
          <cell r="E1072" t="str">
            <v>400W</v>
          </cell>
        </row>
      </sheetData>
      <sheetData sheetId="274">
        <row r="1072">
          <cell r="E1072" t="str">
            <v>400W</v>
          </cell>
        </row>
      </sheetData>
      <sheetData sheetId="275">
        <row r="1072">
          <cell r="E1072" t="str">
            <v>400W</v>
          </cell>
        </row>
      </sheetData>
      <sheetData sheetId="276">
        <row r="1072">
          <cell r="E1072" t="str">
            <v>400W</v>
          </cell>
        </row>
      </sheetData>
      <sheetData sheetId="277">
        <row r="1072">
          <cell r="E1072" t="str">
            <v>400W</v>
          </cell>
        </row>
      </sheetData>
      <sheetData sheetId="278">
        <row r="1072">
          <cell r="E1072" t="str">
            <v>400W</v>
          </cell>
        </row>
      </sheetData>
      <sheetData sheetId="279">
        <row r="1072">
          <cell r="E1072" t="str">
            <v>400W</v>
          </cell>
        </row>
      </sheetData>
      <sheetData sheetId="280">
        <row r="1072">
          <cell r="E1072" t="str">
            <v>400W</v>
          </cell>
        </row>
      </sheetData>
      <sheetData sheetId="281">
        <row r="1072">
          <cell r="E1072" t="str">
            <v>400W</v>
          </cell>
        </row>
      </sheetData>
      <sheetData sheetId="282">
        <row r="1072">
          <cell r="E1072" t="str">
            <v>400W</v>
          </cell>
        </row>
      </sheetData>
      <sheetData sheetId="283">
        <row r="1072">
          <cell r="E1072" t="str">
            <v>400W</v>
          </cell>
        </row>
      </sheetData>
      <sheetData sheetId="284">
        <row r="1072">
          <cell r="E1072" t="str">
            <v>400W</v>
          </cell>
        </row>
      </sheetData>
      <sheetData sheetId="285">
        <row r="1072">
          <cell r="E1072" t="str">
            <v>400W</v>
          </cell>
        </row>
      </sheetData>
      <sheetData sheetId="286">
        <row r="1072">
          <cell r="E1072" t="str">
            <v>400W</v>
          </cell>
        </row>
      </sheetData>
      <sheetData sheetId="287">
        <row r="1072">
          <cell r="E1072" t="str">
            <v>400W</v>
          </cell>
        </row>
      </sheetData>
      <sheetData sheetId="288"/>
      <sheetData sheetId="289">
        <row r="1072">
          <cell r="E1072" t="str">
            <v>400W</v>
          </cell>
        </row>
      </sheetData>
      <sheetData sheetId="290">
        <row r="1072">
          <cell r="E1072" t="str">
            <v>400W</v>
          </cell>
        </row>
      </sheetData>
      <sheetData sheetId="291">
        <row r="1072">
          <cell r="E1072" t="str">
            <v>400W</v>
          </cell>
        </row>
      </sheetData>
      <sheetData sheetId="292">
        <row r="1072">
          <cell r="E1072" t="str">
            <v>400W</v>
          </cell>
        </row>
      </sheetData>
      <sheetData sheetId="293"/>
      <sheetData sheetId="294">
        <row r="1072">
          <cell r="E1072" t="str">
            <v>400W</v>
          </cell>
        </row>
      </sheetData>
      <sheetData sheetId="295"/>
      <sheetData sheetId="296">
        <row r="1072">
          <cell r="E1072" t="str">
            <v>400W</v>
          </cell>
        </row>
      </sheetData>
      <sheetData sheetId="297">
        <row r="1072">
          <cell r="E1072" t="str">
            <v>400W</v>
          </cell>
        </row>
      </sheetData>
      <sheetData sheetId="298">
        <row r="1072">
          <cell r="E1072" t="str">
            <v>400W</v>
          </cell>
        </row>
      </sheetData>
      <sheetData sheetId="299">
        <row r="1072">
          <cell r="E1072" t="str">
            <v>400W</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ow r="1072">
          <cell r="E1072" t="str">
            <v>400W</v>
          </cell>
        </row>
      </sheetData>
      <sheetData sheetId="320">
        <row r="1072">
          <cell r="E1072" t="str">
            <v>400W</v>
          </cell>
        </row>
      </sheetData>
      <sheetData sheetId="321">
        <row r="1072">
          <cell r="E1072" t="str">
            <v>400W</v>
          </cell>
        </row>
      </sheetData>
      <sheetData sheetId="322">
        <row r="1072">
          <cell r="E1072" t="str">
            <v>400W</v>
          </cell>
        </row>
      </sheetData>
      <sheetData sheetId="323">
        <row r="1072">
          <cell r="E1072" t="str">
            <v>400W</v>
          </cell>
        </row>
      </sheetData>
      <sheetData sheetId="324">
        <row r="1072">
          <cell r="E1072" t="str">
            <v>400W</v>
          </cell>
        </row>
      </sheetData>
      <sheetData sheetId="325">
        <row r="1072">
          <cell r="E1072" t="str">
            <v>400W</v>
          </cell>
        </row>
      </sheetData>
      <sheetData sheetId="326">
        <row r="1072">
          <cell r="E1072" t="str">
            <v>400W</v>
          </cell>
        </row>
      </sheetData>
      <sheetData sheetId="327">
        <row r="1072">
          <cell r="E1072" t="str">
            <v>400W</v>
          </cell>
        </row>
      </sheetData>
      <sheetData sheetId="328">
        <row r="1072">
          <cell r="E1072" t="str">
            <v>400W</v>
          </cell>
        </row>
      </sheetData>
      <sheetData sheetId="329">
        <row r="1072">
          <cell r="E1072" t="str">
            <v>400W</v>
          </cell>
        </row>
      </sheetData>
      <sheetData sheetId="330">
        <row r="1072">
          <cell r="E1072" t="str">
            <v>400W</v>
          </cell>
        </row>
      </sheetData>
      <sheetData sheetId="331">
        <row r="1072">
          <cell r="E1072" t="str">
            <v>400W</v>
          </cell>
        </row>
      </sheetData>
      <sheetData sheetId="332">
        <row r="1072">
          <cell r="E1072" t="str">
            <v>400W</v>
          </cell>
        </row>
      </sheetData>
      <sheetData sheetId="333">
        <row r="1072">
          <cell r="E1072" t="str">
            <v>400W</v>
          </cell>
        </row>
      </sheetData>
      <sheetData sheetId="334">
        <row r="1072">
          <cell r="E1072" t="str">
            <v>400W</v>
          </cell>
        </row>
      </sheetData>
      <sheetData sheetId="335">
        <row r="1072">
          <cell r="E1072" t="str">
            <v>400W</v>
          </cell>
        </row>
      </sheetData>
      <sheetData sheetId="336">
        <row r="1072">
          <cell r="E1072" t="str">
            <v>400W</v>
          </cell>
        </row>
      </sheetData>
      <sheetData sheetId="337">
        <row r="1072">
          <cell r="E1072" t="str">
            <v>400W</v>
          </cell>
        </row>
      </sheetData>
      <sheetData sheetId="338">
        <row r="1072">
          <cell r="E1072" t="str">
            <v>400W</v>
          </cell>
        </row>
      </sheetData>
      <sheetData sheetId="339">
        <row r="1072">
          <cell r="E1072" t="str">
            <v>400W</v>
          </cell>
        </row>
      </sheetData>
      <sheetData sheetId="340">
        <row r="1072">
          <cell r="E1072" t="str">
            <v>400W</v>
          </cell>
        </row>
      </sheetData>
      <sheetData sheetId="341"/>
      <sheetData sheetId="342"/>
      <sheetData sheetId="343">
        <row r="1072">
          <cell r="E1072" t="str">
            <v>400W</v>
          </cell>
        </row>
      </sheetData>
      <sheetData sheetId="344">
        <row r="1072">
          <cell r="E1072" t="str">
            <v>400W</v>
          </cell>
        </row>
      </sheetData>
      <sheetData sheetId="345">
        <row r="1072">
          <cell r="E1072" t="str">
            <v>400W</v>
          </cell>
        </row>
      </sheetData>
      <sheetData sheetId="346">
        <row r="1072">
          <cell r="E1072" t="str">
            <v>400W</v>
          </cell>
        </row>
      </sheetData>
      <sheetData sheetId="347">
        <row r="1072">
          <cell r="E1072" t="str">
            <v>400W</v>
          </cell>
        </row>
      </sheetData>
      <sheetData sheetId="348">
        <row r="1072">
          <cell r="E1072" t="str">
            <v>400W</v>
          </cell>
        </row>
      </sheetData>
      <sheetData sheetId="349">
        <row r="1072">
          <cell r="E1072" t="str">
            <v>400W</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row r="1072">
          <cell r="E1072" t="str">
            <v>400W</v>
          </cell>
        </row>
      </sheetData>
      <sheetData sheetId="370">
        <row r="1072">
          <cell r="E1072" t="str">
            <v>400W</v>
          </cell>
        </row>
      </sheetData>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ow r="1072">
          <cell r="E1072" t="str">
            <v>400W</v>
          </cell>
        </row>
      </sheetData>
      <sheetData sheetId="393">
        <row r="1072">
          <cell r="E1072" t="str">
            <v>400W</v>
          </cell>
        </row>
      </sheetData>
      <sheetData sheetId="394">
        <row r="1072">
          <cell r="E1072" t="str">
            <v>400W</v>
          </cell>
        </row>
      </sheetData>
      <sheetData sheetId="395">
        <row r="1072">
          <cell r="E1072" t="str">
            <v>400W</v>
          </cell>
        </row>
      </sheetData>
      <sheetData sheetId="396">
        <row r="1072">
          <cell r="E1072" t="str">
            <v>400W</v>
          </cell>
        </row>
      </sheetData>
      <sheetData sheetId="397">
        <row r="1072">
          <cell r="E1072" t="str">
            <v>400W</v>
          </cell>
        </row>
      </sheetData>
      <sheetData sheetId="398">
        <row r="1072">
          <cell r="E1072" t="str">
            <v>400W</v>
          </cell>
        </row>
      </sheetData>
      <sheetData sheetId="399">
        <row r="1072">
          <cell r="E1072" t="str">
            <v>400W</v>
          </cell>
        </row>
      </sheetData>
      <sheetData sheetId="400">
        <row r="1072">
          <cell r="E1072" t="str">
            <v>400W</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row r="1072">
          <cell r="E1072" t="str">
            <v>400W</v>
          </cell>
        </row>
      </sheetData>
      <sheetData sheetId="420">
        <row r="1072">
          <cell r="E1072" t="str">
            <v>400W</v>
          </cell>
        </row>
      </sheetData>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row r="1072">
          <cell r="E1072" t="str">
            <v>400W</v>
          </cell>
        </row>
      </sheetData>
      <sheetData sheetId="443"/>
      <sheetData sheetId="444"/>
      <sheetData sheetId="445"/>
      <sheetData sheetId="446">
        <row r="1072">
          <cell r="E1072" t="str">
            <v>400W</v>
          </cell>
        </row>
      </sheetData>
      <sheetData sheetId="447">
        <row r="1072">
          <cell r="E1072" t="str">
            <v>400W</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refreshError="1"/>
      <sheetData sheetId="470">
        <row r="1072">
          <cell r="E1072" t="str">
            <v>400W</v>
          </cell>
        </row>
      </sheetData>
      <sheetData sheetId="471">
        <row r="1072">
          <cell r="E1072" t="str">
            <v>400W</v>
          </cell>
        </row>
      </sheetData>
      <sheetData sheetId="472">
        <row r="1072">
          <cell r="E1072" t="str">
            <v>400W</v>
          </cell>
        </row>
      </sheetData>
      <sheetData sheetId="473">
        <row r="1072">
          <cell r="E1072" t="str">
            <v>400W</v>
          </cell>
        </row>
      </sheetData>
      <sheetData sheetId="474"/>
      <sheetData sheetId="475">
        <row r="1072">
          <cell r="E1072" t="str">
            <v>400W</v>
          </cell>
        </row>
      </sheetData>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ow r="1072">
          <cell r="E1072" t="str">
            <v>400W</v>
          </cell>
        </row>
      </sheetData>
      <sheetData sheetId="490">
        <row r="1072">
          <cell r="E1072" t="str">
            <v>400W</v>
          </cell>
        </row>
      </sheetData>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ow r="1072">
          <cell r="E1072" t="str">
            <v>400W</v>
          </cell>
        </row>
      </sheetData>
      <sheetData sheetId="540">
        <row r="1072">
          <cell r="E1072" t="str">
            <v>400W</v>
          </cell>
        </row>
      </sheetData>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row r="1072">
          <cell r="E1072" t="str">
            <v>400W</v>
          </cell>
        </row>
      </sheetData>
      <sheetData sheetId="590">
        <row r="1072">
          <cell r="E1072" t="str">
            <v>400W</v>
          </cell>
        </row>
      </sheetData>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refreshError="1"/>
      <sheetData sheetId="640">
        <row r="1072">
          <cell r="E1072" t="str">
            <v>400W</v>
          </cell>
        </row>
      </sheetData>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refreshError="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sheetData sheetId="726"/>
      <sheetData sheetId="727"/>
      <sheetData sheetId="728"/>
      <sheetData sheetId="729"/>
      <sheetData sheetId="730"/>
      <sheetData sheetId="73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M"/>
      <sheetName val="NET-COST"/>
      <sheetName val="MATERIAL SHEET"/>
      <sheetName val="TABLE OF BUDGET (derive)"/>
      <sheetName val="TABLE OF BUDGET"/>
      <sheetName val="TABLE OF BUDGET (3.5)"/>
      <sheetName val="xTABLE OF BUDGET (E-M)"/>
      <sheetName val="SITEEXPENSES"/>
      <sheetName val="D &amp; W sizes"/>
      <sheetName val="BOQ"/>
      <sheetName val="ProgRate"/>
      <sheetName val="MATERIAL_SHEET"/>
      <sheetName val="TABLE_OF_BUDGET_(derive)"/>
      <sheetName val="TABLE_OF_BUDGET"/>
      <sheetName val="TABLE_OF_BUDGET_(3_5)"/>
      <sheetName val="xTABLE_OF_BUDGET_(E-M)"/>
      <sheetName val="D_&amp;_W_sizes"/>
      <sheetName val="MATERIAL_SHEET1"/>
      <sheetName val="TABLE_OF_BUDGET_(derive)1"/>
      <sheetName val="TABLE_OF_BUDGET1"/>
      <sheetName val="TABLE_OF_BUDGET_(3_5)1"/>
      <sheetName val="xTABLE_OF_BUDGET_(E-M)1"/>
      <sheetName val="D_&amp;_W_sizes1"/>
      <sheetName val="CD_LC"/>
      <sheetName val="MATL"/>
      <sheetName val="Sec2 - Earthworks"/>
      <sheetName val="Factor"/>
      <sheetName val="slab"/>
      <sheetName val="Bin"/>
      <sheetName val="Sheet1"/>
      <sheetName val="Piping"/>
      <sheetName val="細目"/>
      <sheetName val="BUMP"/>
      <sheetName val="GNF-M01"/>
      <sheetName val="MATERIAL_SHEET2"/>
      <sheetName val="TABLE_OF_BUDGET_(derive)2"/>
      <sheetName val="TABLE_OF_BUDGET2"/>
      <sheetName val="TABLE_OF_BUDGET_(3_5)2"/>
      <sheetName val="xTABLE_OF_BUDGET_(E-M)2"/>
      <sheetName val="D_&amp;_W_sizes2"/>
      <sheetName val="Sec2_-_Earthworks"/>
      <sheetName val="SHTQTMI"/>
      <sheetName val="MEG-Unit"/>
      <sheetName val="VLOOKUP"/>
      <sheetName val="Bill No 6 Koord &amp; Attendance"/>
      <sheetName val="철거산출근거"/>
      <sheetName val="STAFFSCHED "/>
      <sheetName val="derivation"/>
      <sheetName val="MU "/>
      <sheetName val="Bill No.3"/>
      <sheetName val="Equpt"/>
      <sheetName val="3QLRP ( R2 MOR)"/>
      <sheetName val="#REF"/>
      <sheetName val="MATERIAL_SHEET3"/>
      <sheetName val="TABLE_OF_BUDGET_(derive)3"/>
      <sheetName val="TABLE_OF_BUDGET3"/>
      <sheetName val="TABLE_OF_BUDGET_(3_5)3"/>
      <sheetName val="xTABLE_OF_BUDGET_(E-M)3"/>
      <sheetName val="D_&amp;_W_sizes3"/>
      <sheetName val="Sec2_-_Earthworks1"/>
      <sheetName val="Bill_No_6_Koord_&amp;_Attendance"/>
      <sheetName val="STAFFSCHED_"/>
      <sheetName val="MU_"/>
      <sheetName val="Bill_No_3"/>
      <sheetName val="入力"/>
      <sheetName val="LINEAR"/>
      <sheetName val="PEDESB"/>
      <sheetName val="10、Ａ-⑤"/>
    </sheetNames>
    <sheetDataSet>
      <sheetData sheetId="0" refreshError="1">
        <row r="3">
          <cell r="N3">
            <v>1.05</v>
          </cell>
        </row>
        <row r="5">
          <cell r="N5">
            <v>1.5</v>
          </cell>
        </row>
        <row r="7">
          <cell r="N7">
            <v>1.1000000000000001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 summary of cost"/>
      <sheetName val="ID"/>
      <sheetName val="SUMM"/>
      <sheetName val="03"/>
      <sheetName val="04"/>
      <sheetName val="05"/>
      <sheetName val="06"/>
      <sheetName val="07"/>
      <sheetName val="08"/>
      <sheetName val="09"/>
      <sheetName val="10"/>
      <sheetName val="12"/>
      <sheetName val="22"/>
      <sheetName val="23"/>
      <sheetName val="26"/>
      <sheetName val="27"/>
      <sheetName val="31"/>
      <sheetName val="32"/>
      <sheetName val="31 (2)"/>
      <sheetName val="PipWT"/>
      <sheetName val="TRADUCTION LISTES"/>
      <sheetName val="Insulation_Utl_Off"/>
      <sheetName val="Note_Piping"/>
      <sheetName val="Quantity"/>
      <sheetName val="KP_List"/>
      <sheetName val="Labor-Equipment Rates"/>
      <sheetName val="(10) Other Costs5"/>
      <sheetName val="BQ_Methanol"/>
      <sheetName val="boq"/>
      <sheetName val="materials"/>
      <sheetName val="Electrical Pricelist"/>
      <sheetName val="breakdown"/>
      <sheetName val="h-013211-2"/>
      <sheetName val="Total-Mem"/>
      <sheetName val="Prelims"/>
      <sheetName val="hauling"/>
      <sheetName val="환율"/>
      <sheetName val="eq_data"/>
      <sheetName val="Site"/>
      <sheetName val="BM"/>
      <sheetName val="LEGEND"/>
      <sheetName val="Detail"/>
      <sheetName val="Summary"/>
      <sheetName val="간접비(1)"/>
      <sheetName val="SKETCH"/>
      <sheetName val="BOQ segment3 (Part C-H)"/>
      <sheetName val="BOQ segment3 (PartB)"/>
      <sheetName val="eqpmt"/>
    </sheetNames>
    <sheetDataSet>
      <sheetData sheetId="0">
        <row r="29">
          <cell r="L29">
            <v>11491820.351</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 val="1"/>
      <sheetName val="2"/>
      <sheetName val="3"/>
      <sheetName val=" 4"/>
      <sheetName val="Summary"/>
      <sheetName val="REV. 2 INPUT"/>
      <sheetName val="Sheet1"/>
      <sheetName val="WORKSHEET"/>
      <sheetName val="PipWT"/>
      <sheetName val="PRELIMS"/>
      <sheetName val="GFA"/>
      <sheetName val="BREAKDOWN"/>
      <sheetName val="Process"/>
      <sheetName val="BM"/>
      <sheetName val="Schedule S-Curve Revision#3"/>
      <sheetName val="_4"/>
      <sheetName val="REV__2_INPUT"/>
      <sheetName val="demolition"/>
      <sheetName val="Adimi bldg"/>
      <sheetName val="Pump House"/>
      <sheetName val="Fuel Regu Station"/>
      <sheetName val="BOQ3"/>
      <sheetName val="Bill6"/>
      <sheetName val="LABCOST"/>
      <sheetName val="_41"/>
      <sheetName val="REV__2_INPUT1"/>
      <sheetName val="Schedule_S-Curve_Revision#3"/>
      <sheetName val="Adimi_bldg"/>
      <sheetName val="Pump_House"/>
      <sheetName val="Fuel_Regu_Station"/>
      <sheetName val="4.boq-site(o)"/>
      <sheetName val="Bill 10 - Specialties"/>
      <sheetName val="3QLRP ( R2 MOR)"/>
      <sheetName val="SLMC BOQ-MEPF-REV 2 (BASE BID) "/>
      <sheetName val="242-3 summaryOPC"/>
      <sheetName val="L(1)"/>
      <sheetName val="L(2)"/>
      <sheetName val="L(3)"/>
      <sheetName val="L(4)"/>
      <sheetName val="GLASS PARAPET"/>
      <sheetName val="保温材（VALVE BQ）"/>
      <sheetName val="revised#1"/>
      <sheetName val="DATA"/>
      <sheetName val="BOQ "/>
      <sheetName val="RSB_RATIO"/>
      <sheetName val="Bill summary of cost"/>
      <sheetName val="specialties"/>
      <sheetName val="DATA VALIDATION"/>
      <sheetName val="IBASE"/>
      <sheetName val="Rebars"/>
      <sheetName val="Labor-Equipment Rates"/>
      <sheetName val="BOQ"/>
      <sheetName val="est"/>
      <sheetName val="derive"/>
      <sheetName val="Summary-Actual"/>
      <sheetName val="DET"/>
      <sheetName val="Plumbing"/>
      <sheetName val="Phase 2A - REvised"/>
      <sheetName val="DD EST."/>
      <sheetName val="INPUT DATA HERE"/>
      <sheetName val="ID"/>
      <sheetName val="3QLRP_(_R2_MOR)"/>
      <sheetName val="003 (rates)"/>
      <sheetName val="_42"/>
      <sheetName val="REV__2_INPUT2"/>
      <sheetName val="Schedule_S-Curve_Revision#31"/>
      <sheetName val="Adimi_bldg1"/>
      <sheetName val="Pump_House1"/>
      <sheetName val="Fuel_Regu_Station1"/>
      <sheetName val="4_boq-site(o)"/>
      <sheetName val="Bill_10_-_Specialties"/>
      <sheetName val="3QLRP_(_R2_MOR)1"/>
      <sheetName val="SLMC_BOQ-MEPF-REV_2_(BASE_BID)_"/>
      <sheetName val="242-3_summaryOPC"/>
      <sheetName val="GLASS_PARAPET"/>
      <sheetName val="保温材（VALVE_BQ）"/>
      <sheetName val="BOQ_"/>
      <sheetName val="Bill_summary_of_cost"/>
      <sheetName val="DATA_VALIDATION"/>
      <sheetName val="Labor-Equipment_Rates"/>
      <sheetName val="Phase_2A_-_REvised"/>
      <sheetName val="DD_EST_"/>
      <sheetName val="INPUT_DATA_HERE"/>
      <sheetName val="003_(rates)"/>
      <sheetName val="_43"/>
      <sheetName val="REV__2_INPUT3"/>
      <sheetName val="Schedule_S-Curve_Revision#32"/>
      <sheetName val="Adimi_bldg2"/>
      <sheetName val="Pump_House2"/>
      <sheetName val="Fuel_Regu_Station2"/>
      <sheetName val="4_boq-site(o)1"/>
      <sheetName val="Bill_10_-_Specialties1"/>
      <sheetName val="3QLRP_(_R2_MOR)2"/>
      <sheetName val="SLMC_BOQ-MEPF-REV_2_(BASE_BID)1"/>
      <sheetName val="242-3_summaryOPC1"/>
      <sheetName val="GLASS_PARAPET1"/>
      <sheetName val="保温材（VALVE_BQ）1"/>
      <sheetName val="BOQ_1"/>
      <sheetName val="Bill_summary_of_cost1"/>
      <sheetName val="DATA_VALIDATION1"/>
      <sheetName val="Labor-Equipment_Rates1"/>
      <sheetName val="Phase_2A_-_REvised1"/>
      <sheetName val="DD_EST_1"/>
      <sheetName val="INPUT_DATA_HERE1"/>
      <sheetName val="003_(rates)1"/>
      <sheetName val="_44"/>
      <sheetName val="REV__2_INPUT4"/>
      <sheetName val="Schedule_S-Curve_Revision#33"/>
      <sheetName val="Adimi_bldg3"/>
      <sheetName val="Pump_House3"/>
      <sheetName val="Fuel_Regu_Station3"/>
      <sheetName val="4_boq-site(o)2"/>
      <sheetName val="Bill_10_-_Specialties2"/>
      <sheetName val="3QLRP_(_R2_MOR)3"/>
      <sheetName val="SLMC_BOQ-MEPF-REV_2_(BASE_BID)2"/>
      <sheetName val="242-3_summaryOPC2"/>
      <sheetName val="GLASS_PARAPET2"/>
      <sheetName val="保温材（VALVE_BQ）2"/>
      <sheetName val="BOQ_2"/>
      <sheetName val="Bill_summary_of_cost2"/>
      <sheetName val="DATA_VALIDATION2"/>
      <sheetName val="Labor-Equipment_Rates2"/>
      <sheetName val="Phase_2A_-_REvised2"/>
      <sheetName val="DD_EST_2"/>
      <sheetName val="INPUT_DATA_HERE2"/>
      <sheetName val="003_(rates)2"/>
      <sheetName val="bill of quantities"/>
      <sheetName val="struc_parameters"/>
      <sheetName val="2ND(ok)"/>
      <sheetName val="_47"/>
      <sheetName val="REV__2_INPUT7"/>
      <sheetName val="Schedule_S-Curve_Revision#36"/>
      <sheetName val="Adimi_bldg6"/>
      <sheetName val="Pump_House6"/>
      <sheetName val="Fuel_Regu_Station6"/>
      <sheetName val="4_boq-site(o)5"/>
      <sheetName val="Bill_10_-_Specialties5"/>
      <sheetName val="3QLRP_(_R2_MOR)6"/>
      <sheetName val="SLMC_BOQ-MEPF-REV_2_(BASE_BID)5"/>
      <sheetName val="242-3_summaryOPC5"/>
      <sheetName val="GLASS_PARAPET5"/>
      <sheetName val="保温材（VALVE_BQ）5"/>
      <sheetName val="BOQ_5"/>
      <sheetName val="Bill_summary_of_cost5"/>
      <sheetName val="DATA_VALIDATION5"/>
      <sheetName val="Labor-Equipment_Rates5"/>
      <sheetName val="Phase_2A_-_REvised5"/>
      <sheetName val="DD_EST_5"/>
      <sheetName val="INPUT_DATA_HERE5"/>
      <sheetName val="003_(rates)5"/>
      <sheetName val="bill_of_quantities2"/>
      <sheetName val="_46"/>
      <sheetName val="REV__2_INPUT6"/>
      <sheetName val="Schedule_S-Curve_Revision#35"/>
      <sheetName val="Adimi_bldg5"/>
      <sheetName val="Pump_House5"/>
      <sheetName val="Fuel_Regu_Station5"/>
      <sheetName val="4_boq-site(o)4"/>
      <sheetName val="Bill_10_-_Specialties4"/>
      <sheetName val="3QLRP_(_R2_MOR)5"/>
      <sheetName val="SLMC_BOQ-MEPF-REV_2_(BASE_BID)4"/>
      <sheetName val="242-3_summaryOPC4"/>
      <sheetName val="GLASS_PARAPET4"/>
      <sheetName val="保温材（VALVE_BQ）4"/>
      <sheetName val="BOQ_4"/>
      <sheetName val="Bill_summary_of_cost4"/>
      <sheetName val="DATA_VALIDATION4"/>
      <sheetName val="Labor-Equipment_Rates4"/>
      <sheetName val="Phase_2A_-_REvised4"/>
      <sheetName val="DD_EST_4"/>
      <sheetName val="INPUT_DATA_HERE4"/>
      <sheetName val="003_(rates)4"/>
      <sheetName val="bill_of_quantities1"/>
      <sheetName val="_45"/>
      <sheetName val="REV__2_INPUT5"/>
      <sheetName val="Schedule_S-Curve_Revision#34"/>
      <sheetName val="Adimi_bldg4"/>
      <sheetName val="Pump_House4"/>
      <sheetName val="Fuel_Regu_Station4"/>
      <sheetName val="4_boq-site(o)3"/>
      <sheetName val="Bill_10_-_Specialties3"/>
      <sheetName val="3QLRP_(_R2_MOR)4"/>
      <sheetName val="SLMC_BOQ-MEPF-REV_2_(BASE_BID)3"/>
      <sheetName val="242-3_summaryOPC3"/>
      <sheetName val="GLASS_PARAPET3"/>
      <sheetName val="保温材（VALVE_BQ）3"/>
      <sheetName val="BOQ_3"/>
      <sheetName val="Bill_summary_of_cost3"/>
      <sheetName val="DATA_VALIDATION3"/>
      <sheetName val="Labor-Equipment_Rates3"/>
      <sheetName val="Phase_2A_-_REvised3"/>
      <sheetName val="DD_EST_3"/>
      <sheetName val="INPUT_DATA_HERE3"/>
      <sheetName val="003_(rates)3"/>
      <sheetName val="bill_of_quantities"/>
      <sheetName val="_48"/>
      <sheetName val="REV__2_INPUT8"/>
      <sheetName val="Schedule_S-Curve_Revision#37"/>
      <sheetName val="Adimi_bldg7"/>
      <sheetName val="Pump_House7"/>
      <sheetName val="Fuel_Regu_Station7"/>
      <sheetName val="4_boq-site(o)6"/>
      <sheetName val="Bill_10_-_Specialties6"/>
      <sheetName val="3QLRP_(_R2_MOR)7"/>
      <sheetName val="SLMC_BOQ-MEPF-REV_2_(BASE_BID)6"/>
      <sheetName val="242-3_summaryOPC6"/>
      <sheetName val="GLASS_PARAPET6"/>
      <sheetName val="保温材（VALVE_BQ）6"/>
      <sheetName val="BOQ_6"/>
      <sheetName val="Bill_summary_of_cost6"/>
      <sheetName val="DATA_VALIDATION6"/>
      <sheetName val="Labor-Equipment_Rates6"/>
      <sheetName val="Phase_2A_-_REvised6"/>
      <sheetName val="DD_EST_6"/>
      <sheetName val="INPUT_DATA_HERE6"/>
      <sheetName val="003_(rates)6"/>
      <sheetName val="bill_of_quantities3"/>
      <sheetName val="_49"/>
      <sheetName val="REV__2_INPUT9"/>
      <sheetName val="Schedule_S-Curve_Revision#38"/>
      <sheetName val="Adimi_bldg8"/>
      <sheetName val="Pump_House8"/>
      <sheetName val="Fuel_Regu_Station8"/>
      <sheetName val="4_boq-site(o)7"/>
      <sheetName val="Bill_10_-_Specialties7"/>
      <sheetName val="3QLRP_(_R2_MOR)8"/>
      <sheetName val="SLMC_BOQ-MEPF-REV_2_(BASE_BID)7"/>
      <sheetName val="242-3_summaryOPC7"/>
      <sheetName val="GLASS_PARAPET7"/>
      <sheetName val="保温材（VALVE_BQ）7"/>
      <sheetName val="BOQ_7"/>
      <sheetName val="Bill_summary_of_cost7"/>
      <sheetName val="DATA_VALIDATION7"/>
      <sheetName val="Labor-Equipment_Rates7"/>
      <sheetName val="Phase_2A_-_REvised7"/>
      <sheetName val="DD_EST_7"/>
      <sheetName val="INPUT_DATA_HERE7"/>
      <sheetName val="003_(rates)7"/>
      <sheetName val="bill_of_quantities4"/>
      <sheetName val="_412"/>
      <sheetName val="REV__2_INPUT12"/>
      <sheetName val="Schedule_S-Curve_Revision#311"/>
      <sheetName val="Adimi_bldg11"/>
      <sheetName val="Pump_House11"/>
      <sheetName val="Fuel_Regu_Station11"/>
      <sheetName val="4_boq-site(o)10"/>
      <sheetName val="Bill_10_-_Specialties10"/>
      <sheetName val="3QLRP_(_R2_MOR)11"/>
      <sheetName val="SLMC_BOQ-MEPF-REV_2_(BASE_BID10"/>
      <sheetName val="242-3_summaryOPC10"/>
      <sheetName val="GLASS_PARAPET10"/>
      <sheetName val="保温材（VALVE_BQ）10"/>
      <sheetName val="BOQ_10"/>
      <sheetName val="Bill_summary_of_cost10"/>
      <sheetName val="DATA_VALIDATION10"/>
      <sheetName val="Labor-Equipment_Rates10"/>
      <sheetName val="Phase_2A_-_REvised10"/>
      <sheetName val="DD_EST_10"/>
      <sheetName val="INPUT_DATA_HERE10"/>
      <sheetName val="003_(rates)10"/>
      <sheetName val="bill_of_quantities7"/>
      <sheetName val="_410"/>
      <sheetName val="REV__2_INPUT10"/>
      <sheetName val="Schedule_S-Curve_Revision#39"/>
      <sheetName val="Adimi_bldg9"/>
      <sheetName val="Pump_House9"/>
      <sheetName val="Fuel_Regu_Station9"/>
      <sheetName val="4_boq-site(o)8"/>
      <sheetName val="Bill_10_-_Specialties8"/>
      <sheetName val="3QLRP_(_R2_MOR)9"/>
      <sheetName val="SLMC_BOQ-MEPF-REV_2_(BASE_BID)8"/>
      <sheetName val="242-3_summaryOPC8"/>
      <sheetName val="GLASS_PARAPET8"/>
      <sheetName val="保温材（VALVE_BQ）8"/>
      <sheetName val="BOQ_8"/>
      <sheetName val="Bill_summary_of_cost8"/>
      <sheetName val="DATA_VALIDATION8"/>
      <sheetName val="Labor-Equipment_Rates8"/>
      <sheetName val="Phase_2A_-_REvised8"/>
      <sheetName val="DD_EST_8"/>
      <sheetName val="INPUT_DATA_HERE8"/>
      <sheetName val="003_(rates)8"/>
      <sheetName val="bill_of_quantities5"/>
      <sheetName val="_411"/>
      <sheetName val="REV__2_INPUT11"/>
      <sheetName val="Schedule_S-Curve_Revision#310"/>
      <sheetName val="Adimi_bldg10"/>
      <sheetName val="Pump_House10"/>
      <sheetName val="Fuel_Regu_Station10"/>
      <sheetName val="4_boq-site(o)9"/>
      <sheetName val="Bill_10_-_Specialties9"/>
      <sheetName val="3QLRP_(_R2_MOR)10"/>
      <sheetName val="SLMC_BOQ-MEPF-REV_2_(BASE_BID)9"/>
      <sheetName val="242-3_summaryOPC9"/>
      <sheetName val="GLASS_PARAPET9"/>
      <sheetName val="保温材（VALVE_BQ）9"/>
      <sheetName val="BOQ_9"/>
      <sheetName val="Bill_summary_of_cost9"/>
      <sheetName val="DATA_VALIDATION9"/>
      <sheetName val="Labor-Equipment_Rates9"/>
      <sheetName val="Phase_2A_-_REvised9"/>
      <sheetName val="DD_EST_9"/>
      <sheetName val="INPUT_DATA_HERE9"/>
      <sheetName val="003_(rates)9"/>
      <sheetName val="bill_of_quantities6"/>
    </sheetNames>
    <sheetDataSet>
      <sheetData sheetId="0">
        <row r="1072">
          <cell r="E1072" t="str">
            <v>400W</v>
          </cell>
        </row>
      </sheetData>
      <sheetData sheetId="1"/>
      <sheetData sheetId="2"/>
      <sheetData sheetId="3"/>
      <sheetData sheetId="4"/>
      <sheetData sheetId="5"/>
      <sheetData sheetId="6"/>
      <sheetData sheetId="7" refreshError="1">
        <row r="1072">
          <cell r="E1072" t="str">
            <v>400W</v>
          </cell>
          <cell r="F1072" t="str">
            <v>400W, FIXTURE (UPLIGHT)</v>
          </cell>
          <cell r="G1072" t="str">
            <v>nr</v>
          </cell>
          <cell r="H1072">
            <v>4</v>
          </cell>
          <cell r="I1072">
            <v>0</v>
          </cell>
          <cell r="J1072">
            <v>0</v>
          </cell>
          <cell r="K1072">
            <v>0</v>
          </cell>
          <cell r="L1072">
            <v>4</v>
          </cell>
          <cell r="N1072">
            <v>6196.4285714285706</v>
          </cell>
          <cell r="O1072">
            <v>1554.53</v>
          </cell>
          <cell r="P1072">
            <v>777.27</v>
          </cell>
        </row>
        <row r="1073">
          <cell r="E1073" t="str">
            <v>DL2</v>
          </cell>
          <cell r="F1073" t="str">
            <v>3X60W, WALL FIXTURE (TYPE DL2)</v>
          </cell>
          <cell r="G1073" t="str">
            <v>nr</v>
          </cell>
          <cell r="H1073">
            <v>6</v>
          </cell>
          <cell r="I1073">
            <v>0</v>
          </cell>
          <cell r="J1073">
            <v>0</v>
          </cell>
          <cell r="K1073">
            <v>0</v>
          </cell>
          <cell r="L1073">
            <v>6</v>
          </cell>
          <cell r="N1073">
            <v>13732.142857142855</v>
          </cell>
          <cell r="O1073">
            <v>777.27</v>
          </cell>
          <cell r="P1073">
            <v>388.63</v>
          </cell>
        </row>
        <row r="1074">
          <cell r="E1074" t="str">
            <v>EMR</v>
          </cell>
          <cell r="F1074" t="str">
            <v>2x25W Halogen, emergency light</v>
          </cell>
          <cell r="G1074" t="str">
            <v>nr</v>
          </cell>
          <cell r="H1074">
            <v>105</v>
          </cell>
          <cell r="I1074">
            <v>0</v>
          </cell>
          <cell r="J1074">
            <v>0</v>
          </cell>
          <cell r="K1074">
            <v>33</v>
          </cell>
          <cell r="L1074">
            <v>72</v>
          </cell>
          <cell r="N1074">
            <v>11399.92</v>
          </cell>
          <cell r="O1074">
            <v>1139.99</v>
          </cell>
          <cell r="P1074">
            <v>570</v>
          </cell>
        </row>
        <row r="1075">
          <cell r="E1075" t="str">
            <v>EP</v>
          </cell>
          <cell r="F1075" t="str">
            <v>2 X 36W aluminum body finish explosion proof</v>
          </cell>
          <cell r="G1075" t="str">
            <v>nr</v>
          </cell>
          <cell r="H1075">
            <v>19</v>
          </cell>
          <cell r="I1075">
            <v>0</v>
          </cell>
          <cell r="J1075">
            <v>0</v>
          </cell>
          <cell r="K1075">
            <v>19</v>
          </cell>
          <cell r="L1075">
            <v>0</v>
          </cell>
          <cell r="N1075">
            <v>40417.879999999997</v>
          </cell>
          <cell r="O1075">
            <v>4041.79</v>
          </cell>
          <cell r="P1075">
            <v>2020.89</v>
          </cell>
        </row>
        <row r="1076">
          <cell r="E1076" t="str">
            <v>EX1</v>
          </cell>
          <cell r="F1076" t="str">
            <v>2x8W, WALL FIXTURE (Type EX1)</v>
          </cell>
          <cell r="G1076" t="str">
            <v xml:space="preserve">nr </v>
          </cell>
          <cell r="H1076">
            <v>270</v>
          </cell>
          <cell r="I1076">
            <v>0</v>
          </cell>
          <cell r="J1076">
            <v>11</v>
          </cell>
          <cell r="K1076">
            <v>0</v>
          </cell>
          <cell r="L1076">
            <v>259</v>
          </cell>
          <cell r="N1076">
            <v>3142.8571428571427</v>
          </cell>
          <cell r="O1076">
            <v>570</v>
          </cell>
          <cell r="P1076">
            <v>285</v>
          </cell>
        </row>
        <row r="1077">
          <cell r="E1077" t="str">
            <v>EXIT</v>
          </cell>
          <cell r="F1077" t="str">
            <v>2X8W exit light c/w 3 hrs. battery pack</v>
          </cell>
          <cell r="G1077" t="str">
            <v>nr</v>
          </cell>
          <cell r="H1077">
            <v>274</v>
          </cell>
          <cell r="I1077">
            <v>97</v>
          </cell>
          <cell r="J1077">
            <v>0</v>
          </cell>
          <cell r="K1077">
            <v>114</v>
          </cell>
          <cell r="L1077">
            <v>63</v>
          </cell>
          <cell r="N1077">
            <v>2839.2857142857142</v>
          </cell>
          <cell r="O1077">
            <v>570</v>
          </cell>
          <cell r="P1077">
            <v>285</v>
          </cell>
        </row>
        <row r="1078">
          <cell r="E1078" t="str">
            <v>FL1</v>
          </cell>
          <cell r="F1078" t="str">
            <v>3 X 36W, 1200 mm x 600 mm (Type FL1)</v>
          </cell>
          <cell r="G1078" t="str">
            <v>nr</v>
          </cell>
          <cell r="H1078">
            <v>1206</v>
          </cell>
          <cell r="I1078">
            <v>8</v>
          </cell>
          <cell r="J1078">
            <v>35</v>
          </cell>
          <cell r="K1078">
            <v>49</v>
          </cell>
          <cell r="L1078">
            <v>1114</v>
          </cell>
          <cell r="N1078">
            <v>2406.25</v>
          </cell>
          <cell r="O1078">
            <v>639.02</v>
          </cell>
          <cell r="P1078">
            <v>319.51</v>
          </cell>
        </row>
        <row r="1079">
          <cell r="E1079" t="str">
            <v>FL10</v>
          </cell>
          <cell r="F1079" t="str">
            <v>3X36W, FIXTURE (TYPE FL10)</v>
          </cell>
          <cell r="G1079" t="str">
            <v>nr</v>
          </cell>
          <cell r="H1079">
            <v>156</v>
          </cell>
          <cell r="I1079">
            <v>0</v>
          </cell>
          <cell r="J1079">
            <v>0</v>
          </cell>
          <cell r="K1079">
            <v>0</v>
          </cell>
          <cell r="L1079">
            <v>156</v>
          </cell>
          <cell r="N1079">
            <v>4352.6785714285706</v>
          </cell>
          <cell r="O1079">
            <v>939.98</v>
          </cell>
          <cell r="P1079">
            <v>469.99</v>
          </cell>
        </row>
        <row r="1080">
          <cell r="E1080" t="str">
            <v>FL11</v>
          </cell>
          <cell r="F1080" t="str">
            <v>1X40W, FIXTURE (TYPE FL11)</v>
          </cell>
          <cell r="G1080" t="str">
            <v>nr</v>
          </cell>
          <cell r="H1080">
            <v>504</v>
          </cell>
          <cell r="I1080">
            <v>0</v>
          </cell>
          <cell r="J1080">
            <v>0</v>
          </cell>
          <cell r="K1080">
            <v>0</v>
          </cell>
          <cell r="L1080">
            <v>504</v>
          </cell>
          <cell r="N1080">
            <v>2973.2142857142853</v>
          </cell>
          <cell r="O1080">
            <v>603.57000000000005</v>
          </cell>
          <cell r="P1080">
            <v>301.79000000000002</v>
          </cell>
        </row>
        <row r="1081">
          <cell r="E1081" t="str">
            <v>FL1A</v>
          </cell>
          <cell r="F1081" t="str">
            <v>3X36W, RECESSED FIXTURE (TYPE FL1A)</v>
          </cell>
          <cell r="G1081" t="str">
            <v>nr</v>
          </cell>
          <cell r="H1081">
            <v>86</v>
          </cell>
          <cell r="I1081">
            <v>0</v>
          </cell>
          <cell r="J1081">
            <v>0</v>
          </cell>
          <cell r="K1081">
            <v>0</v>
          </cell>
          <cell r="L1081">
            <v>86</v>
          </cell>
          <cell r="N1081">
            <v>2767.8571428571427</v>
          </cell>
          <cell r="O1081">
            <v>995.32</v>
          </cell>
          <cell r="P1081">
            <v>497.66</v>
          </cell>
        </row>
        <row r="1082">
          <cell r="E1082" t="str">
            <v>FL1B</v>
          </cell>
          <cell r="F1082" t="str">
            <v xml:space="preserve">3 x 36W, 1200mm x 1600mm, low gear </v>
          </cell>
          <cell r="G1082" t="str">
            <v>nr</v>
          </cell>
          <cell r="H1082">
            <v>7</v>
          </cell>
          <cell r="I1082">
            <v>0</v>
          </cell>
          <cell r="J1082">
            <v>0</v>
          </cell>
          <cell r="K1082">
            <v>7</v>
          </cell>
          <cell r="L1082">
            <v>0</v>
          </cell>
          <cell r="N1082">
            <v>2767.8571428571427</v>
          </cell>
          <cell r="O1082">
            <v>998.01</v>
          </cell>
          <cell r="P1082">
            <v>499.01</v>
          </cell>
        </row>
        <row r="1083">
          <cell r="E1083" t="str">
            <v>FL2</v>
          </cell>
          <cell r="F1083" t="str">
            <v xml:space="preserve">1 X 40W warm daylight, 600mm x 600mm </v>
          </cell>
          <cell r="G1083" t="str">
            <v>nr</v>
          </cell>
          <cell r="H1083">
            <v>27</v>
          </cell>
          <cell r="I1083">
            <v>10</v>
          </cell>
          <cell r="J1083">
            <v>0</v>
          </cell>
          <cell r="K1083">
            <v>2</v>
          </cell>
          <cell r="L1083">
            <v>15</v>
          </cell>
          <cell r="N1083">
            <v>4040.1785714285711</v>
          </cell>
          <cell r="O1083">
            <v>603.58000000000004</v>
          </cell>
          <cell r="P1083">
            <v>301.79000000000002</v>
          </cell>
        </row>
        <row r="1084">
          <cell r="E1084" t="str">
            <v>FL2A</v>
          </cell>
          <cell r="F1084" t="str">
            <v>2X36W, FIXTURE (TYPE FL2A)</v>
          </cell>
          <cell r="G1084" t="str">
            <v>nr</v>
          </cell>
          <cell r="H1084">
            <v>117</v>
          </cell>
          <cell r="I1084">
            <v>0</v>
          </cell>
          <cell r="J1084">
            <v>0</v>
          </cell>
          <cell r="K1084">
            <v>0</v>
          </cell>
          <cell r="L1084">
            <v>117</v>
          </cell>
          <cell r="N1084">
            <v>1683.0357142857142</v>
          </cell>
          <cell r="O1084">
            <v>959.67</v>
          </cell>
          <cell r="P1084">
            <v>479.83</v>
          </cell>
        </row>
        <row r="1085">
          <cell r="E1085" t="str">
            <v>FL3</v>
          </cell>
          <cell r="F1085" t="str">
            <v xml:space="preserve">2 X 28W warm daylight, 600mm x 1200mm </v>
          </cell>
          <cell r="G1085" t="str">
            <v>nr</v>
          </cell>
          <cell r="H1085">
            <v>1370</v>
          </cell>
          <cell r="I1085">
            <v>21</v>
          </cell>
          <cell r="J1085">
            <v>0</v>
          </cell>
          <cell r="K1085">
            <v>0</v>
          </cell>
          <cell r="L1085">
            <v>1349</v>
          </cell>
          <cell r="N1085">
            <v>4178.5714285714284</v>
          </cell>
          <cell r="O1085">
            <v>1752.69</v>
          </cell>
          <cell r="P1085">
            <v>876.34</v>
          </cell>
        </row>
        <row r="1086">
          <cell r="E1086" t="str">
            <v>FL4</v>
          </cell>
          <cell r="F1086" t="str">
            <v>2X36W, RECESSED FIXTURE (TYPE FL4)</v>
          </cell>
          <cell r="G1086" t="str">
            <v>nr</v>
          </cell>
          <cell r="H1086">
            <v>1228</v>
          </cell>
          <cell r="I1086">
            <v>47</v>
          </cell>
          <cell r="J1086">
            <v>0</v>
          </cell>
          <cell r="K1086">
            <v>201</v>
          </cell>
          <cell r="L1086">
            <v>980</v>
          </cell>
          <cell r="N1086">
            <v>2227.6785714285711</v>
          </cell>
          <cell r="O1086">
            <v>646.69000000000005</v>
          </cell>
          <cell r="P1086">
            <v>323.33999999999997</v>
          </cell>
        </row>
        <row r="1087">
          <cell r="E1087" t="str">
            <v>FL4A</v>
          </cell>
          <cell r="F1087" t="str">
            <v>2X36W, SURFACE FIXTURE (TYPE FL4A)</v>
          </cell>
          <cell r="G1087" t="str">
            <v>nr</v>
          </cell>
          <cell r="H1087">
            <v>143</v>
          </cell>
          <cell r="I1087">
            <v>0</v>
          </cell>
          <cell r="J1087">
            <v>0</v>
          </cell>
          <cell r="K1087">
            <v>4</v>
          </cell>
          <cell r="L1087">
            <v>139</v>
          </cell>
          <cell r="N1087">
            <v>1584.8214285714284</v>
          </cell>
          <cell r="O1087">
            <v>1002.88</v>
          </cell>
          <cell r="P1087">
            <v>501.44</v>
          </cell>
        </row>
        <row r="1088">
          <cell r="E1088" t="str">
            <v>FL4B</v>
          </cell>
          <cell r="F1088" t="str">
            <v xml:space="preserve">2 x 36W warm white 600mm x 1200mm HG </v>
          </cell>
          <cell r="G1088" t="str">
            <v>nr</v>
          </cell>
          <cell r="H1088">
            <v>22</v>
          </cell>
          <cell r="I1088">
            <v>0</v>
          </cell>
          <cell r="J1088">
            <v>0</v>
          </cell>
          <cell r="K1088">
            <v>22</v>
          </cell>
          <cell r="L1088">
            <v>0</v>
          </cell>
          <cell r="N1088">
            <v>1584.8214285714284</v>
          </cell>
          <cell r="O1088">
            <v>1002.88</v>
          </cell>
          <cell r="P1088">
            <v>501.44</v>
          </cell>
        </row>
        <row r="1089">
          <cell r="E1089" t="str">
            <v>FL5</v>
          </cell>
          <cell r="F1089" t="str">
            <v>1 X 36W warm white (Type FL5)</v>
          </cell>
          <cell r="G1089" t="str">
            <v>nr</v>
          </cell>
          <cell r="H1089">
            <v>728</v>
          </cell>
          <cell r="I1089">
            <v>648</v>
          </cell>
          <cell r="J1089">
            <v>0</v>
          </cell>
          <cell r="K1089">
            <v>0</v>
          </cell>
          <cell r="L1089">
            <v>80</v>
          </cell>
          <cell r="N1089">
            <v>1691.9642857142856</v>
          </cell>
          <cell r="O1089">
            <v>318.27</v>
          </cell>
          <cell r="P1089">
            <v>159.13</v>
          </cell>
        </row>
        <row r="1090">
          <cell r="E1090" t="str">
            <v>FL6</v>
          </cell>
          <cell r="F1090" t="str">
            <v>1X36W, FIXTURE (TYPE FL6)</v>
          </cell>
          <cell r="G1090" t="str">
            <v>nr</v>
          </cell>
          <cell r="H1090">
            <v>213</v>
          </cell>
          <cell r="I1090">
            <v>7</v>
          </cell>
          <cell r="J1090">
            <v>1</v>
          </cell>
          <cell r="K1090">
            <v>113</v>
          </cell>
          <cell r="L1090">
            <v>92</v>
          </cell>
          <cell r="N1090">
            <v>794.64285714285711</v>
          </cell>
          <cell r="O1090">
            <v>208.41</v>
          </cell>
          <cell r="P1090">
            <v>104.21</v>
          </cell>
        </row>
        <row r="1091">
          <cell r="E1091" t="str">
            <v>FL6B</v>
          </cell>
          <cell r="F1091" t="str">
            <v xml:space="preserve">1 X 36W warm white batten flourescent (Type </v>
          </cell>
          <cell r="G1091" t="str">
            <v>nr</v>
          </cell>
          <cell r="H1091">
            <v>11</v>
          </cell>
          <cell r="I1091">
            <v>11</v>
          </cell>
          <cell r="J1091">
            <v>0</v>
          </cell>
          <cell r="K1091">
            <v>0</v>
          </cell>
          <cell r="L1091">
            <v>0</v>
          </cell>
          <cell r="N1091">
            <v>794.64285714285711</v>
          </cell>
          <cell r="O1091">
            <v>622.96</v>
          </cell>
          <cell r="P1091">
            <v>311.48</v>
          </cell>
        </row>
        <row r="1092">
          <cell r="E1092" t="str">
            <v>FL7</v>
          </cell>
          <cell r="F1092" t="str">
            <v>2X36W, SURFACE FIXTURE (TYPE FL7)</v>
          </cell>
          <cell r="G1092" t="str">
            <v>nr</v>
          </cell>
          <cell r="H1092">
            <v>282</v>
          </cell>
          <cell r="I1092">
            <v>0</v>
          </cell>
          <cell r="J1092">
            <v>9</v>
          </cell>
          <cell r="K1092">
            <v>0</v>
          </cell>
          <cell r="L1092">
            <v>273</v>
          </cell>
          <cell r="N1092">
            <v>1223.2142857142856</v>
          </cell>
          <cell r="O1092">
            <v>285</v>
          </cell>
          <cell r="P1092">
            <v>142.5</v>
          </cell>
        </row>
        <row r="1093">
          <cell r="E1093" t="str">
            <v>FL8</v>
          </cell>
          <cell r="F1093" t="str">
            <v>2X36W, FIXTURE (TYPE FL8)</v>
          </cell>
          <cell r="G1093" t="str">
            <v>nr</v>
          </cell>
          <cell r="H1093">
            <v>11</v>
          </cell>
          <cell r="I1093">
            <v>3</v>
          </cell>
          <cell r="J1093">
            <v>0</v>
          </cell>
          <cell r="K1093">
            <v>0</v>
          </cell>
          <cell r="L1093">
            <v>8</v>
          </cell>
          <cell r="N1093">
            <v>4044.6428571428569</v>
          </cell>
          <cell r="O1093">
            <v>1899.12</v>
          </cell>
          <cell r="P1093">
            <v>949.56</v>
          </cell>
        </row>
        <row r="1094">
          <cell r="E1094" t="str">
            <v>FL9</v>
          </cell>
          <cell r="F1094" t="str">
            <v>3 X 54W (Type FL9)</v>
          </cell>
          <cell r="G1094" t="str">
            <v>nr</v>
          </cell>
          <cell r="H1094">
            <v>32</v>
          </cell>
          <cell r="I1094">
            <v>32</v>
          </cell>
          <cell r="J1094">
            <v>0</v>
          </cell>
          <cell r="K1094">
            <v>0</v>
          </cell>
          <cell r="L1094">
            <v>0</v>
          </cell>
          <cell r="N1094">
            <v>3392.8571428571427</v>
          </cell>
          <cell r="O1094">
            <v>5353.85</v>
          </cell>
          <cell r="P1094">
            <v>2676.93</v>
          </cell>
        </row>
        <row r="1095">
          <cell r="E1095" t="str">
            <v>FLP12</v>
          </cell>
          <cell r="F1095" t="str">
            <v>1X36W, PENDANT FIXTURE (TYPE FLP12)</v>
          </cell>
          <cell r="G1095" t="str">
            <v>nr</v>
          </cell>
          <cell r="H1095">
            <v>202</v>
          </cell>
          <cell r="I1095">
            <v>1</v>
          </cell>
          <cell r="J1095">
            <v>1</v>
          </cell>
          <cell r="K1095">
            <v>170</v>
          </cell>
          <cell r="L1095">
            <v>30</v>
          </cell>
          <cell r="N1095">
            <v>1263.3928571428571</v>
          </cell>
          <cell r="O1095">
            <v>347.18</v>
          </cell>
          <cell r="P1095">
            <v>173.59</v>
          </cell>
        </row>
        <row r="1096">
          <cell r="E1096" t="str">
            <v>FLPE</v>
          </cell>
          <cell r="F1096" t="str">
            <v>2 X 36W cool white explosion proof 1P65</v>
          </cell>
          <cell r="G1096" t="str">
            <v>nr</v>
          </cell>
          <cell r="H1096">
            <v>15</v>
          </cell>
          <cell r="I1096">
            <v>0</v>
          </cell>
          <cell r="J1096">
            <v>0</v>
          </cell>
          <cell r="K1096">
            <v>15</v>
          </cell>
          <cell r="L1096">
            <v>0</v>
          </cell>
          <cell r="N1096">
            <v>26977.678571428569</v>
          </cell>
          <cell r="O1096">
            <v>4041.79</v>
          </cell>
          <cell r="P1096">
            <v>2020.89</v>
          </cell>
        </row>
        <row r="1097">
          <cell r="E1097" t="str">
            <v>FLPE1</v>
          </cell>
          <cell r="F1097" t="str">
            <v>2x36W, PENDANT FIXTURE (Type FLPE1)</v>
          </cell>
          <cell r="G1097" t="str">
            <v xml:space="preserve">nr </v>
          </cell>
          <cell r="H1097">
            <v>13</v>
          </cell>
          <cell r="I1097">
            <v>0</v>
          </cell>
          <cell r="J1097">
            <v>2</v>
          </cell>
          <cell r="K1097">
            <v>0</v>
          </cell>
          <cell r="L1097">
            <v>11</v>
          </cell>
          <cell r="N1097">
            <v>26977.678571428569</v>
          </cell>
          <cell r="O1097">
            <v>694.36</v>
          </cell>
          <cell r="P1097">
            <v>347.18</v>
          </cell>
        </row>
        <row r="1098">
          <cell r="E1098" t="str">
            <v>FLPE2</v>
          </cell>
          <cell r="F1098" t="str">
            <v>(FLPE2)</v>
          </cell>
          <cell r="G1098" t="str">
            <v>nr</v>
          </cell>
          <cell r="H1098">
            <v>5</v>
          </cell>
          <cell r="I1098">
            <v>0</v>
          </cell>
          <cell r="J1098">
            <v>5</v>
          </cell>
          <cell r="K1098">
            <v>0</v>
          </cell>
          <cell r="L1098">
            <v>0</v>
          </cell>
          <cell r="N1098">
            <v>28397.321428571428</v>
          </cell>
          <cell r="O1098">
            <v>3834.52</v>
          </cell>
          <cell r="P1098">
            <v>1917.26</v>
          </cell>
        </row>
        <row r="1099">
          <cell r="E1099" t="str">
            <v>FLS12</v>
          </cell>
          <cell r="F1099" t="str">
            <v>1X36W, FIXTURE (TYPE FLS12)</v>
          </cell>
          <cell r="G1099" t="str">
            <v>nr</v>
          </cell>
          <cell r="H1099">
            <v>7</v>
          </cell>
          <cell r="I1099">
            <v>2</v>
          </cell>
          <cell r="J1099">
            <v>2</v>
          </cell>
          <cell r="K1099">
            <v>0</v>
          </cell>
          <cell r="L1099">
            <v>3</v>
          </cell>
          <cell r="N1099">
            <v>866.07142857142844</v>
          </cell>
          <cell r="O1099">
            <v>310.91000000000003</v>
          </cell>
          <cell r="P1099">
            <v>155.44999999999999</v>
          </cell>
        </row>
        <row r="1100">
          <cell r="E1100" t="str">
            <v>FLSC2</v>
          </cell>
          <cell r="F1100" t="str">
            <v>1X28W, SURFACE FIXTURE (TYPE FLSC2)</v>
          </cell>
          <cell r="G1100" t="str">
            <v>nr</v>
          </cell>
          <cell r="H1100">
            <v>85</v>
          </cell>
          <cell r="I1100">
            <v>4</v>
          </cell>
          <cell r="J1100">
            <v>2</v>
          </cell>
          <cell r="K1100">
            <v>0</v>
          </cell>
          <cell r="L1100">
            <v>79</v>
          </cell>
          <cell r="N1100">
            <v>1857.1428571428569</v>
          </cell>
          <cell r="O1100">
            <v>217.64</v>
          </cell>
          <cell r="P1100">
            <v>108.82</v>
          </cell>
        </row>
        <row r="1101">
          <cell r="E1101" t="str">
            <v>HD1</v>
          </cell>
          <cell r="F1101" t="str">
            <v>1 X 50 MR 16 fixed downlight</v>
          </cell>
          <cell r="G1101" t="str">
            <v>nr</v>
          </cell>
          <cell r="H1101">
            <v>543</v>
          </cell>
          <cell r="I1101">
            <v>60</v>
          </cell>
          <cell r="J1101">
            <v>0</v>
          </cell>
          <cell r="K1101">
            <v>0</v>
          </cell>
          <cell r="L1101">
            <v>483</v>
          </cell>
          <cell r="N1101">
            <v>683.03571428571422</v>
          </cell>
          <cell r="O1101">
            <v>379.93</v>
          </cell>
          <cell r="P1101">
            <v>189.97</v>
          </cell>
        </row>
        <row r="1102">
          <cell r="E1102" t="str">
            <v>HD2</v>
          </cell>
          <cell r="F1102" t="str">
            <v>1X50W, FIXTURE (TYPE HD2)</v>
          </cell>
          <cell r="G1102" t="str">
            <v>nr</v>
          </cell>
          <cell r="H1102">
            <v>154</v>
          </cell>
          <cell r="I1102">
            <v>54</v>
          </cell>
          <cell r="J1102">
            <v>0</v>
          </cell>
          <cell r="K1102">
            <v>0</v>
          </cell>
          <cell r="L1102">
            <v>100</v>
          </cell>
          <cell r="N1102">
            <v>683.03571428571422</v>
          </cell>
          <cell r="O1102">
            <v>392.16</v>
          </cell>
          <cell r="P1102">
            <v>196.08</v>
          </cell>
        </row>
        <row r="1103">
          <cell r="E1103" t="str">
            <v>HD3</v>
          </cell>
          <cell r="F1103" t="str">
            <v>50W Downlight (Type HD3)</v>
          </cell>
          <cell r="G1103" t="str">
            <v>nr</v>
          </cell>
          <cell r="H1103">
            <v>109</v>
          </cell>
          <cell r="I1103">
            <v>16</v>
          </cell>
          <cell r="J1103">
            <v>0</v>
          </cell>
          <cell r="K1103">
            <v>0</v>
          </cell>
          <cell r="L1103">
            <v>93</v>
          </cell>
          <cell r="N1103">
            <v>741.07142857142856</v>
          </cell>
          <cell r="O1103">
            <v>625.76</v>
          </cell>
          <cell r="P1103">
            <v>312.88</v>
          </cell>
        </row>
        <row r="1104">
          <cell r="E1104" t="str">
            <v>INDTYPE</v>
          </cell>
          <cell r="F1104" t="str">
            <v>2x36W INDUSTRIAL TYPE</v>
          </cell>
          <cell r="G1104" t="str">
            <v>nr</v>
          </cell>
          <cell r="H1104">
            <v>57</v>
          </cell>
          <cell r="I1104">
            <v>39</v>
          </cell>
          <cell r="J1104">
            <v>18</v>
          </cell>
          <cell r="K1104">
            <v>0</v>
          </cell>
          <cell r="L1104">
            <v>0</v>
          </cell>
          <cell r="N1104">
            <v>3730.88</v>
          </cell>
          <cell r="O1104">
            <v>373.09</v>
          </cell>
          <cell r="P1104">
            <v>186.54</v>
          </cell>
        </row>
        <row r="1105">
          <cell r="E1105" t="str">
            <v>LBHPS1</v>
          </cell>
          <cell r="F1105" t="str">
            <v>1x40W, SURFACE/ PENDANT FIXTURE</v>
          </cell>
          <cell r="G1105" t="str">
            <v>nr</v>
          </cell>
          <cell r="H1105">
            <v>88</v>
          </cell>
          <cell r="I1105">
            <v>0</v>
          </cell>
          <cell r="J1105">
            <v>88</v>
          </cell>
          <cell r="K1105">
            <v>0</v>
          </cell>
          <cell r="L1105">
            <v>0</v>
          </cell>
          <cell r="N1105">
            <v>16366.071428571428</v>
          </cell>
          <cell r="O1105">
            <v>777.27</v>
          </cell>
          <cell r="P1105">
            <v>388.63</v>
          </cell>
        </row>
        <row r="1106">
          <cell r="E1106" t="str">
            <v>METAL</v>
          </cell>
          <cell r="F1106" t="str">
            <v>250W METAL HALIDE</v>
          </cell>
          <cell r="G1106" t="str">
            <v>nr</v>
          </cell>
          <cell r="H1106">
            <v>4</v>
          </cell>
          <cell r="I1106">
            <v>0</v>
          </cell>
          <cell r="J1106">
            <v>4</v>
          </cell>
          <cell r="K1106">
            <v>0</v>
          </cell>
          <cell r="L1106">
            <v>0</v>
          </cell>
          <cell r="N1106">
            <v>11399.92</v>
          </cell>
          <cell r="O1106">
            <v>1139.99</v>
          </cell>
          <cell r="P1106">
            <v>570</v>
          </cell>
        </row>
        <row r="1107">
          <cell r="E1107" t="str">
            <v>OBS</v>
          </cell>
          <cell r="F1107" t="str">
            <v>OBSTRUCTION LIGHT</v>
          </cell>
          <cell r="G1107" t="str">
            <v>nr</v>
          </cell>
          <cell r="H1107">
            <v>23</v>
          </cell>
          <cell r="I1107">
            <v>0</v>
          </cell>
          <cell r="J1107">
            <v>1</v>
          </cell>
          <cell r="K1107">
            <v>0</v>
          </cell>
          <cell r="L1107">
            <v>22</v>
          </cell>
          <cell r="N1107">
            <v>9330.3571428571413</v>
          </cell>
          <cell r="O1107">
            <v>1347.26</v>
          </cell>
          <cell r="P1107">
            <v>673.63</v>
          </cell>
        </row>
        <row r="1108">
          <cell r="E1108" t="str">
            <v>PL1</v>
          </cell>
          <cell r="F1108" t="str">
            <v>2 X 18W warm daylight (TypePL1)</v>
          </cell>
          <cell r="G1108" t="str">
            <v>nr</v>
          </cell>
          <cell r="H1108">
            <v>4372</v>
          </cell>
          <cell r="I1108">
            <v>350</v>
          </cell>
          <cell r="J1108">
            <v>1</v>
          </cell>
          <cell r="K1108">
            <v>0</v>
          </cell>
          <cell r="L1108">
            <v>4021</v>
          </cell>
          <cell r="N1108">
            <v>1080.3571428571427</v>
          </cell>
          <cell r="O1108">
            <v>507.82</v>
          </cell>
          <cell r="P1108">
            <v>253.91</v>
          </cell>
        </row>
        <row r="1109">
          <cell r="E1109" t="str">
            <v>PL1B</v>
          </cell>
          <cell r="F1109" t="str">
            <v>2 x 18W warm daylight (Type PL1B)</v>
          </cell>
          <cell r="G1109" t="str">
            <v>nr</v>
          </cell>
          <cell r="H1109">
            <v>2</v>
          </cell>
          <cell r="I1109">
            <v>0</v>
          </cell>
          <cell r="J1109">
            <v>0</v>
          </cell>
          <cell r="K1109">
            <v>2</v>
          </cell>
          <cell r="L1109">
            <v>0</v>
          </cell>
          <cell r="N1109">
            <v>1080.3571428571427</v>
          </cell>
          <cell r="O1109">
            <v>864.11</v>
          </cell>
          <cell r="P1109">
            <v>432.06</v>
          </cell>
        </row>
        <row r="1110">
          <cell r="E1110" t="str">
            <v>PL2</v>
          </cell>
          <cell r="F1110" t="str">
            <v>1 X 18W warm daylight downlight (Type PL2)</v>
          </cell>
          <cell r="G1110" t="str">
            <v>nr</v>
          </cell>
          <cell r="H1110">
            <v>2188</v>
          </cell>
          <cell r="I1110">
            <v>82</v>
          </cell>
          <cell r="J1110">
            <v>0</v>
          </cell>
          <cell r="K1110">
            <v>362</v>
          </cell>
          <cell r="L1110">
            <v>1744</v>
          </cell>
          <cell r="N1110">
            <v>687.5</v>
          </cell>
          <cell r="O1110">
            <v>449.16</v>
          </cell>
          <cell r="P1110">
            <v>224.58</v>
          </cell>
        </row>
        <row r="1111">
          <cell r="E1111" t="str">
            <v>PL2B</v>
          </cell>
          <cell r="F1111" t="str">
            <v>1 x 18W warm daylight downlight</v>
          </cell>
          <cell r="G1111" t="str">
            <v>nr</v>
          </cell>
          <cell r="H1111">
            <v>2</v>
          </cell>
          <cell r="I1111">
            <v>0</v>
          </cell>
          <cell r="J1111">
            <v>0</v>
          </cell>
          <cell r="K1111">
            <v>2</v>
          </cell>
          <cell r="L1111">
            <v>0</v>
          </cell>
          <cell r="N1111">
            <v>687.5</v>
          </cell>
          <cell r="O1111">
            <v>864.11</v>
          </cell>
          <cell r="P1111">
            <v>432.06</v>
          </cell>
        </row>
        <row r="1112">
          <cell r="E1112" t="str">
            <v>PL3</v>
          </cell>
          <cell r="F1112" t="str">
            <v>1 X 18W downlight (Type PL3)</v>
          </cell>
          <cell r="G1112" t="str">
            <v>nr</v>
          </cell>
          <cell r="H1112">
            <v>30</v>
          </cell>
          <cell r="I1112">
            <v>30</v>
          </cell>
          <cell r="J1112">
            <v>0</v>
          </cell>
          <cell r="K1112">
            <v>0</v>
          </cell>
          <cell r="L1112">
            <v>0</v>
          </cell>
          <cell r="N1112">
            <v>767.85714285714278</v>
          </cell>
          <cell r="O1112">
            <v>449.16</v>
          </cell>
          <cell r="P1112">
            <v>224.58</v>
          </cell>
        </row>
        <row r="1113">
          <cell r="E1113" t="str">
            <v>PL4</v>
          </cell>
          <cell r="F1113" t="str">
            <v xml:space="preserve">2 X 18W warm daylight, downlight, IP65 </v>
          </cell>
          <cell r="G1113" t="str">
            <v>nr</v>
          </cell>
          <cell r="H1113">
            <v>28</v>
          </cell>
          <cell r="I1113">
            <v>28</v>
          </cell>
          <cell r="J1113">
            <v>0</v>
          </cell>
          <cell r="K1113">
            <v>0</v>
          </cell>
          <cell r="L1113">
            <v>0</v>
          </cell>
          <cell r="N1113">
            <v>1200.8928571428571</v>
          </cell>
          <cell r="O1113">
            <v>704.73</v>
          </cell>
          <cell r="P1113">
            <v>352.36</v>
          </cell>
        </row>
        <row r="1114">
          <cell r="E1114" t="str">
            <v>PL5</v>
          </cell>
          <cell r="F1114" t="str">
            <v>2X32W, RECESSED FIXTURE (TYPE PL5)</v>
          </cell>
          <cell r="G1114" t="str">
            <v>nr</v>
          </cell>
          <cell r="H1114">
            <v>224</v>
          </cell>
          <cell r="I1114">
            <v>0</v>
          </cell>
          <cell r="J1114">
            <v>0</v>
          </cell>
          <cell r="K1114">
            <v>0</v>
          </cell>
          <cell r="L1114">
            <v>224</v>
          </cell>
          <cell r="N1114">
            <v>1352.6785714285713</v>
          </cell>
          <cell r="O1114">
            <v>538.91</v>
          </cell>
          <cell r="P1114">
            <v>269.45</v>
          </cell>
        </row>
        <row r="1115">
          <cell r="E1115" t="str">
            <v>PL6</v>
          </cell>
          <cell r="F1115" t="str">
            <v>1X70W, RECESSED FIXTURE (TYPE PL6)</v>
          </cell>
          <cell r="G1115" t="str">
            <v>nr</v>
          </cell>
          <cell r="H1115">
            <v>216</v>
          </cell>
          <cell r="I1115">
            <v>0</v>
          </cell>
          <cell r="J1115">
            <v>0</v>
          </cell>
          <cell r="K1115">
            <v>0</v>
          </cell>
          <cell r="L1115">
            <v>216</v>
          </cell>
          <cell r="N1115">
            <v>3035.7142857142853</v>
          </cell>
          <cell r="O1115">
            <v>1796.11</v>
          </cell>
          <cell r="P1115">
            <v>898.05</v>
          </cell>
        </row>
        <row r="1116">
          <cell r="E1116" t="str">
            <v>PL7</v>
          </cell>
          <cell r="F1116" t="str">
            <v>(TYPE PL7)</v>
          </cell>
          <cell r="G1116" t="str">
            <v>nr</v>
          </cell>
          <cell r="H1116">
            <v>816</v>
          </cell>
          <cell r="I1116">
            <v>0</v>
          </cell>
          <cell r="J1116">
            <v>0</v>
          </cell>
          <cell r="K1116">
            <v>0</v>
          </cell>
          <cell r="L1116">
            <v>816</v>
          </cell>
          <cell r="N1116">
            <v>513.39285714285711</v>
          </cell>
          <cell r="O1116">
            <v>725.45</v>
          </cell>
          <cell r="P1116">
            <v>362.72</v>
          </cell>
        </row>
        <row r="1117">
          <cell r="E1117" t="str">
            <v>SD1</v>
          </cell>
          <cell r="F1117" t="str">
            <v>1X58W, FIXTURE (TYPE SD1)</v>
          </cell>
          <cell r="G1117" t="str">
            <v>nr</v>
          </cell>
          <cell r="H1117">
            <v>1431</v>
          </cell>
          <cell r="I1117">
            <v>0</v>
          </cell>
          <cell r="J1117">
            <v>0</v>
          </cell>
          <cell r="K1117">
            <v>1197</v>
          </cell>
          <cell r="L1117">
            <v>234</v>
          </cell>
          <cell r="N1117">
            <v>1459.8214285714284</v>
          </cell>
          <cell r="O1117">
            <v>466.36</v>
          </cell>
          <cell r="P1117">
            <v>233.18</v>
          </cell>
        </row>
        <row r="1118">
          <cell r="E1118" t="str">
            <v>SD1B</v>
          </cell>
          <cell r="F1118" t="str">
            <v xml:space="preserve">1 x 58W cool white polycarbonate body </v>
          </cell>
          <cell r="G1118" t="str">
            <v>nr</v>
          </cell>
          <cell r="H1118">
            <v>126</v>
          </cell>
          <cell r="I1118">
            <v>1</v>
          </cell>
          <cell r="J1118">
            <v>0</v>
          </cell>
          <cell r="K1118">
            <v>125</v>
          </cell>
          <cell r="L1118">
            <v>0</v>
          </cell>
          <cell r="N1118">
            <v>1459.8214285714284</v>
          </cell>
          <cell r="O1118">
            <v>880.9</v>
          </cell>
          <cell r="P1118">
            <v>440.45</v>
          </cell>
        </row>
        <row r="1119">
          <cell r="E1119" t="str">
            <v>SD2</v>
          </cell>
          <cell r="F1119" t="str">
            <v>1 X 36W cool white (Type SD2)</v>
          </cell>
          <cell r="G1119" t="str">
            <v>nr</v>
          </cell>
          <cell r="H1119">
            <v>399</v>
          </cell>
          <cell r="I1119">
            <v>14</v>
          </cell>
          <cell r="J1119">
            <v>59</v>
          </cell>
          <cell r="K1119">
            <v>20</v>
          </cell>
          <cell r="L1119">
            <v>306</v>
          </cell>
          <cell r="N1119">
            <v>1459.8214285714284</v>
          </cell>
          <cell r="O1119">
            <v>252.04</v>
          </cell>
          <cell r="P1119">
            <v>126.02</v>
          </cell>
        </row>
        <row r="1120">
          <cell r="E1120" t="str">
            <v>SD2B</v>
          </cell>
          <cell r="F1120" t="str">
            <v>1 x 36W cool white powdered coated sheet</v>
          </cell>
          <cell r="G1120" t="str">
            <v>nr</v>
          </cell>
          <cell r="H1120">
            <v>111</v>
          </cell>
          <cell r="I1120">
            <v>63</v>
          </cell>
          <cell r="J1120">
            <v>0</v>
          </cell>
          <cell r="K1120">
            <v>38</v>
          </cell>
          <cell r="L1120">
            <v>10</v>
          </cell>
          <cell r="N1120">
            <v>1459.8214285714284</v>
          </cell>
          <cell r="O1120">
            <v>607.30999999999995</v>
          </cell>
          <cell r="P1120">
            <v>303.64999999999998</v>
          </cell>
        </row>
        <row r="1121">
          <cell r="E1121" t="str">
            <v>SD3</v>
          </cell>
          <cell r="F1121" t="str">
            <v>2X36W, FIXTURE (TYPE SD3)</v>
          </cell>
          <cell r="G1121" t="str">
            <v>nr</v>
          </cell>
          <cell r="H1121">
            <v>1</v>
          </cell>
          <cell r="I1121">
            <v>0</v>
          </cell>
          <cell r="J1121">
            <v>0</v>
          </cell>
          <cell r="K1121">
            <v>0</v>
          </cell>
          <cell r="L1121">
            <v>1</v>
          </cell>
          <cell r="N1121">
            <v>1263.3928571428571</v>
          </cell>
          <cell r="O1121">
            <v>154.41999999999999</v>
          </cell>
          <cell r="P1121">
            <v>77.209999999999994</v>
          </cell>
        </row>
        <row r="1122">
          <cell r="E1122" t="str">
            <v>SD4</v>
          </cell>
          <cell r="F1122" t="str">
            <v>150W, WALL FIXTURE (Type SD4)</v>
          </cell>
          <cell r="G1122" t="str">
            <v>nr</v>
          </cell>
          <cell r="H1122">
            <v>3</v>
          </cell>
          <cell r="I1122">
            <v>0</v>
          </cell>
          <cell r="J1122">
            <v>3</v>
          </cell>
          <cell r="K1122">
            <v>0</v>
          </cell>
          <cell r="L1122">
            <v>0</v>
          </cell>
          <cell r="N1122">
            <v>9845.3799999999992</v>
          </cell>
          <cell r="O1122">
            <v>984.54</v>
          </cell>
          <cell r="P1122">
            <v>492.27</v>
          </cell>
        </row>
        <row r="1123">
          <cell r="E1123" t="str">
            <v>SD5</v>
          </cell>
          <cell r="F1123" t="str">
            <v>2x36W, SURFACE FIXTURE (Type SD5)</v>
          </cell>
          <cell r="G1123" t="str">
            <v>nr</v>
          </cell>
          <cell r="H1123">
            <v>8</v>
          </cell>
          <cell r="I1123">
            <v>0</v>
          </cell>
          <cell r="J1123">
            <v>8</v>
          </cell>
          <cell r="K1123">
            <v>0</v>
          </cell>
          <cell r="L1123">
            <v>0</v>
          </cell>
          <cell r="N1123">
            <v>4852.6785714285706</v>
          </cell>
          <cell r="O1123">
            <v>285</v>
          </cell>
          <cell r="P1123">
            <v>142.5</v>
          </cell>
        </row>
        <row r="1124">
          <cell r="E1124" t="str">
            <v>SD5x</v>
          </cell>
          <cell r="F1124" t="str">
            <v>100W METAL HALIDE (Type SD5X)</v>
          </cell>
          <cell r="G1124" t="str">
            <v xml:space="preserve">nr </v>
          </cell>
          <cell r="H1124">
            <v>7</v>
          </cell>
          <cell r="I1124">
            <v>0</v>
          </cell>
          <cell r="J1124">
            <v>7</v>
          </cell>
          <cell r="K1124">
            <v>0</v>
          </cell>
          <cell r="L1124">
            <v>0</v>
          </cell>
          <cell r="N1124">
            <v>9845.3799999999992</v>
          </cell>
          <cell r="O1124">
            <v>984.54</v>
          </cell>
          <cell r="P1124">
            <v>492.27</v>
          </cell>
        </row>
        <row r="1125">
          <cell r="E1125" t="str">
            <v>SD5A</v>
          </cell>
          <cell r="F1125" t="str">
            <v>1X70W, FIXTURE (TYPE SD5A)</v>
          </cell>
          <cell r="G1125" t="str">
            <v>nr</v>
          </cell>
          <cell r="H1125">
            <v>37</v>
          </cell>
          <cell r="I1125">
            <v>16</v>
          </cell>
          <cell r="J1125">
            <v>0</v>
          </cell>
          <cell r="K1125">
            <v>0</v>
          </cell>
          <cell r="L1125">
            <v>21</v>
          </cell>
          <cell r="N1125">
            <v>4852.6785714285706</v>
          </cell>
          <cell r="O1125">
            <v>1220.83</v>
          </cell>
          <cell r="P1125">
            <v>610.41</v>
          </cell>
        </row>
        <row r="1126">
          <cell r="E1126" t="str">
            <v>SD8</v>
          </cell>
          <cell r="F1126" t="str">
            <v>1 X 70W metal halide column uplight</v>
          </cell>
          <cell r="G1126" t="str">
            <v>nr</v>
          </cell>
          <cell r="H1126">
            <v>10</v>
          </cell>
          <cell r="I1126">
            <v>10</v>
          </cell>
          <cell r="J1126">
            <v>0</v>
          </cell>
          <cell r="K1126">
            <v>0</v>
          </cell>
          <cell r="L1126">
            <v>0</v>
          </cell>
          <cell r="N1126">
            <v>8116.0714285714275</v>
          </cell>
          <cell r="O1126">
            <v>725.45</v>
          </cell>
          <cell r="P1126">
            <v>362.73</v>
          </cell>
        </row>
        <row r="1127">
          <cell r="E1127" t="str">
            <v>SD9</v>
          </cell>
          <cell r="F1127" t="str">
            <v xml:space="preserve">1 X 28W circular flourescent lamp </v>
          </cell>
          <cell r="G1127" t="str">
            <v>nr</v>
          </cell>
          <cell r="H1127">
            <v>44</v>
          </cell>
          <cell r="I1127">
            <v>44</v>
          </cell>
          <cell r="J1127">
            <v>0</v>
          </cell>
          <cell r="K1127">
            <v>0</v>
          </cell>
          <cell r="L1127">
            <v>0</v>
          </cell>
          <cell r="N1127">
            <v>6196.4285714285706</v>
          </cell>
          <cell r="O1127">
            <v>310.91000000000003</v>
          </cell>
          <cell r="P1127">
            <v>155.44999999999999</v>
          </cell>
        </row>
        <row r="1128">
          <cell r="E1128" t="str">
            <v>VT</v>
          </cell>
          <cell r="F1128" t="str">
            <v>1 x 36W cool white policarbonate body</v>
          </cell>
          <cell r="G1128" t="str">
            <v>nr</v>
          </cell>
          <cell r="H1128">
            <v>11</v>
          </cell>
          <cell r="I1128">
            <v>0</v>
          </cell>
          <cell r="J1128">
            <v>0</v>
          </cell>
          <cell r="K1128">
            <v>11</v>
          </cell>
          <cell r="L1128">
            <v>0</v>
          </cell>
          <cell r="N1128">
            <v>1459.8214285714284</v>
          </cell>
          <cell r="O1128">
            <v>473.1</v>
          </cell>
          <cell r="P1128">
            <v>236.55</v>
          </cell>
        </row>
        <row r="1129">
          <cell r="E1129" t="str">
            <v>WLx</v>
          </cell>
          <cell r="F1129" t="str">
            <v>2x25W, WALL FIXTURE</v>
          </cell>
          <cell r="G1129" t="str">
            <v>nr</v>
          </cell>
          <cell r="H1129">
            <v>30</v>
          </cell>
          <cell r="I1129">
            <v>0</v>
          </cell>
          <cell r="J1129">
            <v>30</v>
          </cell>
          <cell r="K1129">
            <v>0</v>
          </cell>
          <cell r="L1129">
            <v>0</v>
          </cell>
          <cell r="N1129">
            <v>5181.78</v>
          </cell>
          <cell r="O1129">
            <v>518.17999999999995</v>
          </cell>
          <cell r="P1129">
            <v>259.08999999999997</v>
          </cell>
        </row>
        <row r="1130">
          <cell r="E1130" t="str">
            <v>WL</v>
          </cell>
          <cell r="F1130" t="str">
            <v>1X60W, FIXTURE (TYPE WL)</v>
          </cell>
          <cell r="G1130" t="str">
            <v>nr</v>
          </cell>
          <cell r="H1130">
            <v>21</v>
          </cell>
          <cell r="I1130">
            <v>0</v>
          </cell>
          <cell r="J1130">
            <v>0</v>
          </cell>
          <cell r="K1130">
            <v>0</v>
          </cell>
          <cell r="L1130">
            <v>21</v>
          </cell>
          <cell r="N1130">
            <v>973.21428571428567</v>
          </cell>
          <cell r="O1130">
            <v>404.18</v>
          </cell>
          <cell r="P1130">
            <v>202.09</v>
          </cell>
        </row>
        <row r="1131">
          <cell r="E1131" t="str">
            <v>WL3</v>
          </cell>
          <cell r="F1131" t="str">
            <v xml:space="preserve">1 X 26W weatherproof outdoor decorative </v>
          </cell>
          <cell r="G1131" t="str">
            <v>nr</v>
          </cell>
          <cell r="H1131">
            <v>129</v>
          </cell>
          <cell r="I1131">
            <v>32</v>
          </cell>
          <cell r="J1131">
            <v>45</v>
          </cell>
          <cell r="K1131">
            <v>0</v>
          </cell>
          <cell r="L1131">
            <v>52</v>
          </cell>
          <cell r="N1131">
            <v>4041.82</v>
          </cell>
          <cell r="O1131">
            <v>404.18</v>
          </cell>
          <cell r="P1131">
            <v>202.09</v>
          </cell>
        </row>
      </sheetData>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sheetName val="finsum"/>
      <sheetName val="C1"/>
      <sheetName val="C2"/>
      <sheetName val="C3"/>
      <sheetName val="FF1"/>
      <sheetName val="FF2"/>
      <sheetName val="FF3"/>
      <sheetName val="FF4"/>
      <sheetName val="S1"/>
      <sheetName val="S2"/>
      <sheetName val="S3"/>
      <sheetName val="F1"/>
      <sheetName val="F2"/>
      <sheetName val="F3"/>
      <sheetName val="F4"/>
      <sheetName val="F5"/>
      <sheetName val="V1"/>
      <sheetName val="D1"/>
      <sheetName val="ONE"/>
      <sheetName val="Cheque"/>
      <sheetName val="Unidentified"/>
      <sheetName val="Vari Register"/>
      <sheetName val="Vari by Trade"/>
      <sheetName val="Vari by Vendor"/>
      <sheetName val="Vari_Register"/>
      <sheetName val="Vari_by_Trade"/>
      <sheetName val="Vari_by_Vendor"/>
      <sheetName val="Vari_Register3"/>
      <sheetName val="Vari_by_Trade3"/>
      <sheetName val="Vari_by_Vendor3"/>
      <sheetName val="Vari_Register2"/>
      <sheetName val="Vari_by_Trade2"/>
      <sheetName val="Vari_by_Vendor2"/>
      <sheetName val="Vari_Register1"/>
      <sheetName val="Vari_by_Trade1"/>
      <sheetName val="Vari_by_Vendor1"/>
      <sheetName val="Vari_Register4"/>
      <sheetName val="Vari_by_Trade4"/>
      <sheetName val="Vari_by_Vendor4"/>
      <sheetName val="Distribution"/>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row r="9">
          <cell r="B9" t="str">
            <v>Data</v>
          </cell>
        </row>
        <row r="10">
          <cell r="A10" t="str">
            <v>TRADE</v>
          </cell>
          <cell r="B10" t="str">
            <v>Sum of VARIATION SUBMITTED</v>
          </cell>
          <cell r="C10" t="str">
            <v>Sum of  VARIATION REJECTED</v>
          </cell>
          <cell r="D10" t="str">
            <v>Sum of  VARIATION APPROVED</v>
          </cell>
          <cell r="E10" t="str">
            <v>Sum of VARIATION  TO  BE  ACTIONED</v>
          </cell>
        </row>
        <row r="11">
          <cell r="A11" t="str">
            <v>1.01   Preliminaries</v>
          </cell>
          <cell r="E11">
            <v>0</v>
          </cell>
        </row>
        <row r="12">
          <cell r="A12" t="str">
            <v>1.02   Demolition</v>
          </cell>
          <cell r="E12">
            <v>0</v>
          </cell>
        </row>
        <row r="13">
          <cell r="A13" t="str">
            <v>1.03   Make Good</v>
          </cell>
          <cell r="E13">
            <v>0</v>
          </cell>
        </row>
        <row r="14">
          <cell r="A14" t="str">
            <v>1.04   Partitions</v>
          </cell>
          <cell r="E14">
            <v>0</v>
          </cell>
        </row>
        <row r="15">
          <cell r="A15" t="str">
            <v>1.05   Ceilings Works</v>
          </cell>
          <cell r="E15">
            <v>0</v>
          </cell>
        </row>
        <row r="16">
          <cell r="A16" t="str">
            <v>1.06   Walls</v>
          </cell>
          <cell r="E16">
            <v>0</v>
          </cell>
        </row>
        <row r="17">
          <cell r="A17" t="str">
            <v>1.07   Doors</v>
          </cell>
          <cell r="E17">
            <v>0</v>
          </cell>
        </row>
        <row r="18">
          <cell r="A18" t="str">
            <v>1.08   Joinery</v>
          </cell>
          <cell r="E18">
            <v>0</v>
          </cell>
        </row>
        <row r="19">
          <cell r="A19" t="str">
            <v>1.09   Floor Finishes</v>
          </cell>
          <cell r="E19">
            <v>0</v>
          </cell>
        </row>
        <row r="20">
          <cell r="A20" t="str">
            <v>1.10   Floor Make good</v>
          </cell>
          <cell r="E20">
            <v>0</v>
          </cell>
        </row>
        <row r="21">
          <cell r="A21" t="str">
            <v>1.11   Painting</v>
          </cell>
          <cell r="E21">
            <v>0</v>
          </cell>
        </row>
        <row r="22">
          <cell r="A22" t="str">
            <v>1.12   Removalist</v>
          </cell>
          <cell r="E22">
            <v>0</v>
          </cell>
        </row>
        <row r="23">
          <cell r="A23" t="str">
            <v>1.13   Builders Work</v>
          </cell>
          <cell r="E23">
            <v>0</v>
          </cell>
        </row>
        <row r="24">
          <cell r="A24" t="str">
            <v>1.14   Electrical</v>
          </cell>
          <cell r="E24">
            <v>0</v>
          </cell>
        </row>
        <row r="25">
          <cell r="A25" t="str">
            <v>1.15   Mechanical</v>
          </cell>
          <cell r="E25">
            <v>0</v>
          </cell>
        </row>
        <row r="26">
          <cell r="A26" t="str">
            <v>1.16   Hydraulics</v>
          </cell>
          <cell r="E26">
            <v>0</v>
          </cell>
        </row>
        <row r="27">
          <cell r="A27" t="str">
            <v>1.17   Fire Sprinklers &amp; Detection</v>
          </cell>
          <cell r="E27">
            <v>0</v>
          </cell>
        </row>
        <row r="28">
          <cell r="A28" t="str">
            <v>1.18   Miscellaneous</v>
          </cell>
          <cell r="E28">
            <v>0</v>
          </cell>
        </row>
        <row r="29">
          <cell r="A29" t="str">
            <v>2.01   Furniture</v>
          </cell>
          <cell r="E29">
            <v>0</v>
          </cell>
        </row>
        <row r="30">
          <cell r="A30" t="str">
            <v>2.02   Signage</v>
          </cell>
          <cell r="E30">
            <v>0</v>
          </cell>
        </row>
        <row r="31">
          <cell r="A31" t="str">
            <v>2.03   Artwork</v>
          </cell>
          <cell r="E31">
            <v>0</v>
          </cell>
        </row>
        <row r="32">
          <cell r="A32" t="str">
            <v>2.04   Fixtures</v>
          </cell>
          <cell r="E32">
            <v>0</v>
          </cell>
        </row>
        <row r="33">
          <cell r="A33" t="str">
            <v>2.05   Miscellaneous</v>
          </cell>
          <cell r="E33">
            <v>0</v>
          </cell>
        </row>
        <row r="34">
          <cell r="A34" t="str">
            <v>3.01   Electronic Security</v>
          </cell>
          <cell r="E34">
            <v>0</v>
          </cell>
        </row>
        <row r="35">
          <cell r="A35" t="str">
            <v>3.02   Safe Security</v>
          </cell>
          <cell r="E35">
            <v>0</v>
          </cell>
        </row>
        <row r="36">
          <cell r="A36" t="str">
            <v>3.03   Physical Security</v>
          </cell>
          <cell r="E36">
            <v>0</v>
          </cell>
        </row>
        <row r="37">
          <cell r="A37" t="str">
            <v>3.04   Miscellaneous</v>
          </cell>
          <cell r="E37">
            <v>0</v>
          </cell>
        </row>
        <row r="38">
          <cell r="A38" t="str">
            <v>4.01   Council</v>
          </cell>
          <cell r="E38">
            <v>0</v>
          </cell>
        </row>
        <row r="39">
          <cell r="A39" t="str">
            <v>4.02   Project Manager</v>
          </cell>
          <cell r="E39">
            <v>0</v>
          </cell>
        </row>
        <row r="40">
          <cell r="A40" t="str">
            <v xml:space="preserve">4.03   Architect </v>
          </cell>
          <cell r="E40">
            <v>0</v>
          </cell>
        </row>
        <row r="41">
          <cell r="A41" t="str">
            <v>4.04   Engineer</v>
          </cell>
          <cell r="E41">
            <v>0</v>
          </cell>
        </row>
        <row r="42">
          <cell r="A42" t="str">
            <v>4.05   Quantity Surveyor</v>
          </cell>
          <cell r="E42">
            <v>0</v>
          </cell>
        </row>
        <row r="43">
          <cell r="A43" t="str">
            <v>4.06   Miscellaneous</v>
          </cell>
          <cell r="E43">
            <v>0</v>
          </cell>
        </row>
        <row r="44">
          <cell r="A44" t="str">
            <v>5.01   Voice (Communication)</v>
          </cell>
          <cell r="E44">
            <v>0</v>
          </cell>
        </row>
        <row r="45">
          <cell r="A45" t="str">
            <v>5.02   Data</v>
          </cell>
          <cell r="E45">
            <v>0</v>
          </cell>
        </row>
        <row r="46">
          <cell r="A46" t="str">
            <v>5.02   Miscellaneous</v>
          </cell>
          <cell r="E46">
            <v>0</v>
          </cell>
        </row>
        <row r="47">
          <cell r="A47" t="str">
            <v>6.01   Contingency</v>
          </cell>
          <cell r="E47">
            <v>0</v>
          </cell>
        </row>
        <row r="48">
          <cell r="A48" t="str">
            <v>(blank)</v>
          </cell>
          <cell r="E48">
            <v>0</v>
          </cell>
        </row>
        <row r="49">
          <cell r="A49" t="str">
            <v>Grand Total</v>
          </cell>
          <cell r="E49">
            <v>0</v>
          </cell>
        </row>
      </sheetData>
      <sheetData sheetId="24"/>
      <sheetData sheetId="25"/>
      <sheetData sheetId="26">
        <row r="9">
          <cell r="B9" t="str">
            <v>Data</v>
          </cell>
        </row>
      </sheetData>
      <sheetData sheetId="27"/>
      <sheetData sheetId="28"/>
      <sheetData sheetId="29"/>
      <sheetData sheetId="30"/>
      <sheetData sheetId="31"/>
      <sheetData sheetId="32"/>
      <sheetData sheetId="33"/>
      <sheetData sheetId="34"/>
      <sheetData sheetId="35">
        <row r="9">
          <cell r="B9" t="str">
            <v>Data</v>
          </cell>
        </row>
      </sheetData>
      <sheetData sheetId="36"/>
      <sheetData sheetId="37"/>
      <sheetData sheetId="38">
        <row r="9">
          <cell r="B9" t="str">
            <v>Data</v>
          </cell>
        </row>
      </sheetData>
      <sheetData sheetId="39"/>
      <sheetData sheetId="40" refreshError="1"/>
      <sheetData sheetId="4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sheetName val="finsum"/>
      <sheetName val="C1"/>
      <sheetName val="C2"/>
      <sheetName val="C3"/>
      <sheetName val="FF1"/>
      <sheetName val="FF2"/>
      <sheetName val="FF3"/>
      <sheetName val="FF4"/>
      <sheetName val="S1"/>
      <sheetName val="S2"/>
      <sheetName val="S3"/>
      <sheetName val="F1"/>
      <sheetName val="F2"/>
      <sheetName val="F3"/>
      <sheetName val="F4"/>
      <sheetName val="F5"/>
      <sheetName val="V1"/>
      <sheetName val="D1"/>
      <sheetName val="ONE"/>
      <sheetName val="Cheque"/>
      <sheetName val="Unidentified"/>
      <sheetName val="Vari Register"/>
      <sheetName val="Vari by Trade"/>
      <sheetName val="Vari by Vendor"/>
      <sheetName val="Zonal Valu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row r="9">
          <cell r="B9" t="str">
            <v>Data</v>
          </cell>
        </row>
        <row r="10">
          <cell r="A10" t="str">
            <v>TRADE</v>
          </cell>
          <cell r="B10" t="str">
            <v>Sum of VARIATION SUBMITTED</v>
          </cell>
          <cell r="C10" t="str">
            <v>Sum of  VARIATION REJECTED</v>
          </cell>
          <cell r="D10" t="str">
            <v>Sum of  VARIATION APPROVED</v>
          </cell>
          <cell r="E10" t="str">
            <v>Sum of VARIATION  TO  BE  ACTIONED</v>
          </cell>
        </row>
        <row r="11">
          <cell r="A11" t="str">
            <v>1.01   Preliminaries</v>
          </cell>
          <cell r="E11">
            <v>0</v>
          </cell>
        </row>
        <row r="12">
          <cell r="A12" t="str">
            <v>1.02   Demolition</v>
          </cell>
          <cell r="E12">
            <v>0</v>
          </cell>
        </row>
        <row r="13">
          <cell r="A13" t="str">
            <v>1.03   Make Good</v>
          </cell>
          <cell r="E13">
            <v>0</v>
          </cell>
        </row>
        <row r="14">
          <cell r="A14" t="str">
            <v>1.04   Partitions</v>
          </cell>
          <cell r="E14">
            <v>0</v>
          </cell>
        </row>
        <row r="15">
          <cell r="A15" t="str">
            <v>1.05   Ceilings Works</v>
          </cell>
          <cell r="E15">
            <v>0</v>
          </cell>
        </row>
        <row r="16">
          <cell r="A16" t="str">
            <v>1.06   Walls</v>
          </cell>
          <cell r="E16">
            <v>0</v>
          </cell>
        </row>
        <row r="17">
          <cell r="A17" t="str">
            <v>1.07   Doors</v>
          </cell>
          <cell r="E17">
            <v>0</v>
          </cell>
        </row>
        <row r="18">
          <cell r="A18" t="str">
            <v>1.08   Joinery</v>
          </cell>
          <cell r="E18">
            <v>0</v>
          </cell>
        </row>
        <row r="19">
          <cell r="A19" t="str">
            <v>1.09   Floor Finishes</v>
          </cell>
          <cell r="E19">
            <v>0</v>
          </cell>
        </row>
        <row r="20">
          <cell r="A20" t="str">
            <v>1.10   Floor Make good</v>
          </cell>
          <cell r="E20">
            <v>0</v>
          </cell>
        </row>
        <row r="21">
          <cell r="A21" t="str">
            <v>1.11   Painting</v>
          </cell>
          <cell r="E21">
            <v>0</v>
          </cell>
        </row>
        <row r="22">
          <cell r="A22" t="str">
            <v>1.12   Removalist</v>
          </cell>
          <cell r="E22">
            <v>0</v>
          </cell>
        </row>
        <row r="23">
          <cell r="A23" t="str">
            <v>1.13   Builders Work</v>
          </cell>
          <cell r="E23">
            <v>0</v>
          </cell>
        </row>
        <row r="24">
          <cell r="A24" t="str">
            <v>1.14   Electrical</v>
          </cell>
          <cell r="E24">
            <v>0</v>
          </cell>
        </row>
        <row r="25">
          <cell r="A25" t="str">
            <v>1.15   Mechanical</v>
          </cell>
          <cell r="E25">
            <v>0</v>
          </cell>
        </row>
        <row r="26">
          <cell r="A26" t="str">
            <v>1.16   Hydraulics</v>
          </cell>
          <cell r="E26">
            <v>0</v>
          </cell>
        </row>
        <row r="27">
          <cell r="A27" t="str">
            <v>1.17   Fire Sprinklers &amp; Detection</v>
          </cell>
          <cell r="E27">
            <v>0</v>
          </cell>
        </row>
        <row r="28">
          <cell r="A28" t="str">
            <v>1.18   Miscellaneous</v>
          </cell>
          <cell r="E28">
            <v>0</v>
          </cell>
        </row>
        <row r="29">
          <cell r="A29" t="str">
            <v>2.01   Furniture</v>
          </cell>
          <cell r="E29">
            <v>0</v>
          </cell>
        </row>
        <row r="30">
          <cell r="A30" t="str">
            <v>2.02   Signage</v>
          </cell>
          <cell r="E30">
            <v>0</v>
          </cell>
        </row>
        <row r="31">
          <cell r="A31" t="str">
            <v>2.03   Artwork</v>
          </cell>
          <cell r="E31">
            <v>0</v>
          </cell>
        </row>
        <row r="32">
          <cell r="A32" t="str">
            <v>2.04   Fixtures</v>
          </cell>
          <cell r="E32">
            <v>0</v>
          </cell>
        </row>
        <row r="33">
          <cell r="A33" t="str">
            <v>2.05   Miscellaneous</v>
          </cell>
          <cell r="E33">
            <v>0</v>
          </cell>
        </row>
        <row r="34">
          <cell r="A34" t="str">
            <v>3.01   Electronic Security</v>
          </cell>
          <cell r="E34">
            <v>0</v>
          </cell>
        </row>
        <row r="35">
          <cell r="A35" t="str">
            <v>3.02   Safe Security</v>
          </cell>
          <cell r="E35">
            <v>0</v>
          </cell>
        </row>
        <row r="36">
          <cell r="A36" t="str">
            <v>3.03   Physical Security</v>
          </cell>
          <cell r="E36">
            <v>0</v>
          </cell>
        </row>
        <row r="37">
          <cell r="A37" t="str">
            <v>3.04   Miscellaneous</v>
          </cell>
          <cell r="E37">
            <v>0</v>
          </cell>
        </row>
        <row r="38">
          <cell r="A38" t="str">
            <v>4.01   Council</v>
          </cell>
          <cell r="E38">
            <v>0</v>
          </cell>
        </row>
        <row r="39">
          <cell r="A39" t="str">
            <v>4.02   Project Manager</v>
          </cell>
          <cell r="E39">
            <v>0</v>
          </cell>
        </row>
        <row r="40">
          <cell r="A40" t="str">
            <v xml:space="preserve">4.03   Architect </v>
          </cell>
          <cell r="E40">
            <v>0</v>
          </cell>
        </row>
        <row r="41">
          <cell r="A41" t="str">
            <v>4.04   Engineer</v>
          </cell>
          <cell r="E41">
            <v>0</v>
          </cell>
        </row>
        <row r="42">
          <cell r="A42" t="str">
            <v>4.05   Quantity Surveyor</v>
          </cell>
          <cell r="E42">
            <v>0</v>
          </cell>
        </row>
        <row r="43">
          <cell r="A43" t="str">
            <v>4.06   Miscellaneous</v>
          </cell>
          <cell r="E43">
            <v>0</v>
          </cell>
        </row>
        <row r="44">
          <cell r="A44" t="str">
            <v>5.01   Voice (Communication)</v>
          </cell>
          <cell r="E44">
            <v>0</v>
          </cell>
        </row>
        <row r="45">
          <cell r="A45" t="str">
            <v>5.02   Data</v>
          </cell>
          <cell r="E45">
            <v>0</v>
          </cell>
        </row>
        <row r="46">
          <cell r="A46" t="str">
            <v>5.02   Miscellaneous</v>
          </cell>
          <cell r="E46">
            <v>0</v>
          </cell>
        </row>
        <row r="47">
          <cell r="A47" t="str">
            <v>6.01   Contingency</v>
          </cell>
          <cell r="E47">
            <v>0</v>
          </cell>
        </row>
        <row r="48">
          <cell r="A48" t="str">
            <v>(blank)</v>
          </cell>
          <cell r="E48">
            <v>0</v>
          </cell>
        </row>
        <row r="49">
          <cell r="A49" t="str">
            <v>Grand Total</v>
          </cell>
          <cell r="E49">
            <v>0</v>
          </cell>
        </row>
      </sheetData>
      <sheetData sheetId="24"/>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sheetName val="finsum"/>
      <sheetName val="C1"/>
      <sheetName val="C2"/>
      <sheetName val="C3"/>
      <sheetName val="FF1"/>
      <sheetName val="FF2"/>
      <sheetName val="FF3"/>
      <sheetName val="FF4"/>
      <sheetName val="S1"/>
      <sheetName val="S2"/>
      <sheetName val="S3"/>
      <sheetName val="F1"/>
      <sheetName val="F2"/>
      <sheetName val="F3"/>
      <sheetName val="F4"/>
      <sheetName val="F5"/>
      <sheetName val="V1"/>
      <sheetName val="D1"/>
      <sheetName val="ONE"/>
      <sheetName val="Cheque"/>
      <sheetName val="Unidentified"/>
      <sheetName val="Vari Register"/>
      <sheetName val="Vari by Trade"/>
      <sheetName val="Vari by Vendor"/>
      <sheetName val="Vari_Register"/>
      <sheetName val="Vari_by_Trade"/>
      <sheetName val="Vari_by_Vendor"/>
      <sheetName val="Vari_Register3"/>
      <sheetName val="Vari_by_Trade3"/>
      <sheetName val="Vari_by_Vendor3"/>
      <sheetName val="Vari_Register2"/>
      <sheetName val="Vari_by_Trade2"/>
      <sheetName val="Vari_by_Vendor2"/>
      <sheetName val="Vari_Register1"/>
      <sheetName val="Vari_by_Trade1"/>
      <sheetName val="Vari_by_Vendor1"/>
      <sheetName val="Vari_Register4"/>
      <sheetName val="Vari_by_Trade4"/>
      <sheetName val="Vari_by_Vendor4"/>
      <sheetName val="BOM P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row r="11">
          <cell r="A11" t="str">
            <v>(blank)</v>
          </cell>
          <cell r="B11" t="str">
            <v>(blank)</v>
          </cell>
          <cell r="C11">
            <v>0</v>
          </cell>
          <cell r="D11">
            <v>0</v>
          </cell>
          <cell r="E11">
            <v>0</v>
          </cell>
          <cell r="F11">
            <v>0</v>
          </cell>
        </row>
        <row r="12">
          <cell r="A12" t="str">
            <v>Grand Total</v>
          </cell>
          <cell r="C12">
            <v>0</v>
          </cell>
          <cell r="D12">
            <v>0</v>
          </cell>
          <cell r="E12">
            <v>0</v>
          </cell>
          <cell r="F12">
            <v>0</v>
          </cell>
        </row>
      </sheetData>
      <sheetData sheetId="25"/>
      <sheetData sheetId="26"/>
      <sheetData sheetId="27">
        <row r="11">
          <cell r="A11" t="str">
            <v>(blank)</v>
          </cell>
        </row>
      </sheetData>
      <sheetData sheetId="28"/>
      <sheetData sheetId="29"/>
      <sheetData sheetId="30"/>
      <sheetData sheetId="31"/>
      <sheetData sheetId="32"/>
      <sheetData sheetId="33"/>
      <sheetData sheetId="34"/>
      <sheetData sheetId="35"/>
      <sheetData sheetId="36">
        <row r="11">
          <cell r="A11" t="str">
            <v>(blank)</v>
          </cell>
        </row>
      </sheetData>
      <sheetData sheetId="37"/>
      <sheetData sheetId="38"/>
      <sheetData sheetId="39">
        <row r="11">
          <cell r="A11" t="str">
            <v>(blank)</v>
          </cell>
        </row>
      </sheetData>
      <sheetData sheetId="4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sheetName val="finsum"/>
      <sheetName val="C1"/>
      <sheetName val="C2"/>
      <sheetName val="C3"/>
      <sheetName val="FF1"/>
      <sheetName val="FF2"/>
      <sheetName val="FF3"/>
      <sheetName val="FF4"/>
      <sheetName val="S1"/>
      <sheetName val="S2"/>
      <sheetName val="S3"/>
      <sheetName val="F1"/>
      <sheetName val="F2"/>
      <sheetName val="F3"/>
      <sheetName val="F4"/>
      <sheetName val="F5"/>
      <sheetName val="V1"/>
      <sheetName val="D1"/>
      <sheetName val="ONE"/>
      <sheetName val="Cheque"/>
      <sheetName val="Unidentified"/>
      <sheetName val="Vari Register"/>
      <sheetName val="Vari by Trade"/>
      <sheetName val="Vari by Vendor"/>
      <sheetName val="GRAND SUM"/>
      <sheetName val="Sheet1"/>
      <sheetName val="LABEL"/>
      <sheetName val="Vari_Register"/>
      <sheetName val="Vari_by_Trade"/>
      <sheetName val="Vari_by_Vendor"/>
      <sheetName val="GRAND_SU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row r="11">
          <cell r="A11" t="str">
            <v>(blank)</v>
          </cell>
          <cell r="B11" t="str">
            <v>(blank)</v>
          </cell>
          <cell r="C11">
            <v>0</v>
          </cell>
          <cell r="D11">
            <v>0</v>
          </cell>
          <cell r="E11">
            <v>0</v>
          </cell>
          <cell r="F11">
            <v>0</v>
          </cell>
        </row>
        <row r="12">
          <cell r="A12" t="str">
            <v>Grand Total</v>
          </cell>
          <cell r="C12">
            <v>0</v>
          </cell>
          <cell r="D12">
            <v>0</v>
          </cell>
          <cell r="E12">
            <v>0</v>
          </cell>
          <cell r="F12">
            <v>0</v>
          </cell>
        </row>
      </sheetData>
      <sheetData sheetId="25" refreshError="1"/>
      <sheetData sheetId="26" refreshError="1"/>
      <sheetData sheetId="27" refreshError="1"/>
      <sheetData sheetId="28"/>
      <sheetData sheetId="29"/>
      <sheetData sheetId="30">
        <row r="11">
          <cell r="A11" t="str">
            <v>(blank)</v>
          </cell>
        </row>
      </sheetData>
      <sheetData sheetId="3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mechanical (LABOR COST)"/>
      <sheetName val="Mechanical"/>
      <sheetName val="ppr ref"/>
      <sheetName val="Waterline PPR"/>
      <sheetName val="plumbing ref"/>
      <sheetName val="cwl ref"/>
      <sheetName val="supreme"/>
      <sheetName val="gi &amp; bi fittings"/>
      <sheetName val="Waterline GI"/>
      <sheetName val="Sanitary"/>
      <sheetName val="firepro (LABOR COST)"/>
      <sheetName val="Fire Protection"/>
      <sheetName val="ELECTRICAL"/>
      <sheetName val="Front Page"/>
      <sheetName val="Sheet1"/>
      <sheetName val="mechanical_(LABOR_COST)"/>
      <sheetName val="ppr_ref"/>
      <sheetName val="Waterline_PPR"/>
      <sheetName val="plumbing_ref"/>
      <sheetName val="cwl_ref"/>
      <sheetName val="gi_&amp;_bi_fittings"/>
      <sheetName val="Waterline_GI"/>
      <sheetName val="firepro_(LABOR_COST)"/>
      <sheetName val="Fire_Protection"/>
      <sheetName val="Front_Page"/>
      <sheetName val="Vari by Vendor"/>
      <sheetName val="Distribution"/>
      <sheetName val="mechanical_(LABOR_COST)1"/>
      <sheetName val="ppr_ref1"/>
      <sheetName val="Waterline_PPR1"/>
      <sheetName val="plumbing_ref1"/>
      <sheetName val="cwl_ref1"/>
      <sheetName val="gi_&amp;_bi_fittings1"/>
      <sheetName val="Waterline_GI1"/>
      <sheetName val="firepro_(LABOR_COST)1"/>
      <sheetName val="Fire_Protection1"/>
      <sheetName val="Front_Page1"/>
      <sheetName val="Vari_by_Vendor"/>
      <sheetName val="mechanical_(LABOR_COST)2"/>
      <sheetName val="ppr_ref2"/>
      <sheetName val="Waterline_PPR2"/>
      <sheetName val="plumbing_ref2"/>
      <sheetName val="cwl_ref2"/>
      <sheetName val="gi_&amp;_bi_fittings2"/>
      <sheetName val="Waterline_GI2"/>
      <sheetName val="firepro_(LABOR_COST)2"/>
      <sheetName val="Fire_Protection2"/>
      <sheetName val="Front_Page2"/>
      <sheetName val="Vari_by_Vendor1"/>
      <sheetName val="mechanical_(LABOR_COST)3"/>
      <sheetName val="ppr_ref3"/>
      <sheetName val="Waterline_PPR3"/>
      <sheetName val="plumbing_ref3"/>
      <sheetName val="cwl_ref3"/>
      <sheetName val="gi_&amp;_bi_fittings3"/>
      <sheetName val="Waterline_GI3"/>
      <sheetName val="firepro_(LABOR_COST)3"/>
      <sheetName val="Fire_Protection3"/>
      <sheetName val="Front_Page3"/>
      <sheetName val="Vari_by_Vendor2"/>
      <sheetName val="mechanical_(LABOR_COST)6"/>
      <sheetName val="ppr_ref6"/>
      <sheetName val="Waterline_PPR6"/>
      <sheetName val="plumbing_ref6"/>
      <sheetName val="cwl_ref6"/>
      <sheetName val="gi_&amp;_bi_fittings6"/>
      <sheetName val="Waterline_GI6"/>
      <sheetName val="firepro_(LABOR_COST)6"/>
      <sheetName val="Fire_Protection6"/>
      <sheetName val="Front_Page6"/>
      <sheetName val="Vari_by_Vendor5"/>
      <sheetName val="mechanical_(LABOR_COST)5"/>
      <sheetName val="ppr_ref5"/>
      <sheetName val="Waterline_PPR5"/>
      <sheetName val="plumbing_ref5"/>
      <sheetName val="cwl_ref5"/>
      <sheetName val="gi_&amp;_bi_fittings5"/>
      <sheetName val="Waterline_GI5"/>
      <sheetName val="firepro_(LABOR_COST)5"/>
      <sheetName val="Fire_Protection5"/>
      <sheetName val="Front_Page5"/>
      <sheetName val="Vari_by_Vendor4"/>
      <sheetName val="mechanical_(LABOR_COST)4"/>
      <sheetName val="ppr_ref4"/>
      <sheetName val="Waterline_PPR4"/>
      <sheetName val="plumbing_ref4"/>
      <sheetName val="cwl_ref4"/>
      <sheetName val="gi_&amp;_bi_fittings4"/>
      <sheetName val="Waterline_GI4"/>
      <sheetName val="firepro_(LABOR_COST)4"/>
      <sheetName val="Fire_Protection4"/>
      <sheetName val="Front_Page4"/>
      <sheetName val="Vari_by_Vendor3"/>
      <sheetName val="mechanical_(LABOR_COST)7"/>
      <sheetName val="ppr_ref7"/>
      <sheetName val="Waterline_PPR7"/>
      <sheetName val="plumbing_ref7"/>
      <sheetName val="cwl_ref7"/>
      <sheetName val="gi_&amp;_bi_fittings7"/>
      <sheetName val="Waterline_GI7"/>
      <sheetName val="firepro_(LABOR_COST)7"/>
      <sheetName val="Fire_Protection7"/>
      <sheetName val="Front_Page7"/>
      <sheetName val="Vari_by_Vendor6"/>
      <sheetName val="mechanical_(LABOR_COST)8"/>
      <sheetName val="ppr_ref8"/>
      <sheetName val="Waterline_PPR8"/>
      <sheetName val="plumbing_ref8"/>
      <sheetName val="cwl_ref8"/>
      <sheetName val="gi_&amp;_bi_fittings8"/>
      <sheetName val="Waterline_GI8"/>
      <sheetName val="firepro_(LABOR_COST)8"/>
      <sheetName val="Fire_Protection8"/>
      <sheetName val="Front_Page8"/>
      <sheetName val="Vari_by_Vendor7"/>
      <sheetName val="mechanical_(LABOR_COST)11"/>
      <sheetName val="ppr_ref11"/>
      <sheetName val="Waterline_PPR11"/>
      <sheetName val="plumbing_ref11"/>
      <sheetName val="cwl_ref11"/>
      <sheetName val="gi_&amp;_bi_fittings11"/>
      <sheetName val="Waterline_GI11"/>
      <sheetName val="firepro_(LABOR_COST)11"/>
      <sheetName val="Fire_Protection11"/>
      <sheetName val="Front_Page11"/>
      <sheetName val="Vari_by_Vendor10"/>
      <sheetName val="mechanical_(LABOR_COST)9"/>
      <sheetName val="ppr_ref9"/>
      <sheetName val="Waterline_PPR9"/>
      <sheetName val="plumbing_ref9"/>
      <sheetName val="cwl_ref9"/>
      <sheetName val="gi_&amp;_bi_fittings9"/>
      <sheetName val="Waterline_GI9"/>
      <sheetName val="firepro_(LABOR_COST)9"/>
      <sheetName val="Fire_Protection9"/>
      <sheetName val="Front_Page9"/>
      <sheetName val="Vari_by_Vendor8"/>
      <sheetName val="mechanical_(LABOR_COST)10"/>
      <sheetName val="ppr_ref10"/>
      <sheetName val="Waterline_PPR10"/>
      <sheetName val="plumbing_ref10"/>
      <sheetName val="cwl_ref10"/>
      <sheetName val="gi_&amp;_bi_fittings10"/>
      <sheetName val="Waterline_GI10"/>
      <sheetName val="firepro_(LABOR_COST)10"/>
      <sheetName val="Fire_Protection10"/>
      <sheetName val="Front_Page10"/>
      <sheetName val="Vari_by_Vendor9"/>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2)"/>
      <sheetName val="SCOPE"/>
      <sheetName val="New Offices"/>
      <sheetName val="bonds"/>
    </sheetNames>
    <sheetDataSet>
      <sheetData sheetId="0"/>
      <sheetData sheetId="1">
        <row r="3">
          <cell r="B3" t="str">
            <v>CDO Malvar, Batangas</v>
          </cell>
        </row>
      </sheetData>
      <sheetData sheetId="2">
        <row r="1">
          <cell r="B1" t="str">
            <v>Construction of New Offices</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72447-235E-45C2-B607-4102F6B63B6D}">
  <sheetPr>
    <tabColor rgb="FF0070C0"/>
    <pageSetUpPr fitToPage="1"/>
  </sheetPr>
  <dimension ref="A1:I250"/>
  <sheetViews>
    <sheetView tabSelected="1" view="pageBreakPreview" topLeftCell="A28" workbookViewId="0">
      <selection activeCell="C198" sqref="C198"/>
    </sheetView>
  </sheetViews>
  <sheetFormatPr defaultColWidth="9.1640625" defaultRowHeight="15" customHeight="1"/>
  <cols>
    <col min="1" max="1" width="10.5" style="11" customWidth="1"/>
    <col min="2" max="2" width="3.83203125" style="11" customWidth="1"/>
    <col min="3" max="3" width="48" style="11" customWidth="1"/>
    <col min="4" max="4" width="6.33203125" style="11" customWidth="1"/>
    <col min="5" max="5" width="8.83203125" style="11" customWidth="1"/>
    <col min="6" max="6" width="21.5" style="11" customWidth="1"/>
    <col min="7" max="7" width="25.83203125" style="13" customWidth="1"/>
    <col min="8" max="16384" width="9.1640625" style="11"/>
  </cols>
  <sheetData>
    <row r="1" spans="1:7" ht="16.899999999999999" customHeight="1">
      <c r="A1" s="10" t="s">
        <v>0</v>
      </c>
      <c r="C1" s="12" t="str">
        <f>'Table 1'!B4</f>
        <v>QTE-26-212-EM</v>
      </c>
    </row>
    <row r="2" spans="1:7" ht="12" customHeight="1">
      <c r="A2" s="10"/>
      <c r="C2" s="12"/>
    </row>
    <row r="3" spans="1:7" ht="16.899999999999999" customHeight="1">
      <c r="A3" s="10" t="s">
        <v>75</v>
      </c>
      <c r="C3" s="14" t="s">
        <v>107</v>
      </c>
    </row>
    <row r="4" spans="1:7" ht="12" customHeight="1">
      <c r="A4" s="15"/>
      <c r="C4" s="16"/>
    </row>
    <row r="5" spans="1:7" ht="16.899999999999999" customHeight="1">
      <c r="A5" s="17" t="str">
        <f>[14]SCOPE!B3</f>
        <v>CDO Malvar, Batangas</v>
      </c>
      <c r="C5" s="16"/>
    </row>
    <row r="6" spans="1:7" ht="16.899999999999999" customHeight="1">
      <c r="A6" s="18" t="s">
        <v>76</v>
      </c>
      <c r="C6" s="16"/>
    </row>
    <row r="7" spans="1:7" ht="12" customHeight="1">
      <c r="A7" s="15"/>
      <c r="C7" s="16"/>
    </row>
    <row r="8" spans="1:7" ht="12" customHeight="1">
      <c r="A8" s="15"/>
      <c r="C8" s="16"/>
    </row>
    <row r="9" spans="1:7" ht="16.899999999999999" customHeight="1">
      <c r="A9" s="15" t="s">
        <v>77</v>
      </c>
      <c r="C9" s="19" t="str">
        <f>'Table 1'!B3</f>
        <v xml:space="preserve">Mr. Jeffrey Canamague Jr.  </v>
      </c>
    </row>
    <row r="10" spans="1:7" ht="16.899999999999999" customHeight="1">
      <c r="A10" s="15"/>
      <c r="C10" s="20" t="s">
        <v>111</v>
      </c>
    </row>
    <row r="11" spans="1:7" ht="12" customHeight="1">
      <c r="A11" s="10"/>
      <c r="C11" s="16"/>
    </row>
    <row r="12" spans="1:7" ht="16.899999999999999" customHeight="1">
      <c r="A12" s="15" t="s">
        <v>78</v>
      </c>
      <c r="B12" s="16"/>
      <c r="C12" s="166" t="str">
        <f>'Table 1'!B1</f>
        <v xml:space="preserve">GP Marine-Aumpack Automation </v>
      </c>
      <c r="G12" s="21"/>
    </row>
    <row r="13" spans="1:7" ht="12" customHeight="1">
      <c r="A13" s="15"/>
      <c r="B13" s="16"/>
      <c r="C13" s="22"/>
      <c r="G13" s="21"/>
    </row>
    <row r="14" spans="1:7" ht="16.899999999999999" customHeight="1">
      <c r="A14" s="15" t="s">
        <v>3</v>
      </c>
      <c r="C14" s="16"/>
    </row>
    <row r="15" spans="1:7" ht="12" customHeight="1">
      <c r="A15" s="15"/>
      <c r="C15" s="16"/>
    </row>
    <row r="16" spans="1:7" ht="16.899999999999999" customHeight="1">
      <c r="A16" s="15" t="s">
        <v>4</v>
      </c>
    </row>
    <row r="17" spans="1:7" ht="18" customHeight="1">
      <c r="A17" s="171" t="s">
        <v>5</v>
      </c>
      <c r="B17" s="173" t="s">
        <v>6</v>
      </c>
      <c r="C17" s="174"/>
      <c r="D17" s="171" t="s">
        <v>7</v>
      </c>
      <c r="E17" s="171" t="s">
        <v>8</v>
      </c>
      <c r="F17" s="171" t="s">
        <v>9</v>
      </c>
      <c r="G17" s="23" t="s">
        <v>10</v>
      </c>
    </row>
    <row r="18" spans="1:7" ht="18" customHeight="1">
      <c r="A18" s="172"/>
      <c r="B18" s="175"/>
      <c r="C18" s="176"/>
      <c r="D18" s="172"/>
      <c r="E18" s="172"/>
      <c r="F18" s="172"/>
      <c r="G18" s="24" t="s">
        <v>11</v>
      </c>
    </row>
    <row r="19" spans="1:7" s="27" customFormat="1" ht="54" customHeight="1">
      <c r="A19" s="25">
        <v>1</v>
      </c>
      <c r="B19" s="177" t="s">
        <v>12</v>
      </c>
      <c r="C19" s="177"/>
      <c r="D19" s="25">
        <v>1</v>
      </c>
      <c r="E19" s="25" t="s">
        <v>13</v>
      </c>
      <c r="F19" s="26">
        <f>'Table 1'!N193</f>
        <v>3293739.9488000004</v>
      </c>
      <c r="G19" s="26">
        <f>F19*D19</f>
        <v>3293739.9488000004</v>
      </c>
    </row>
    <row r="20" spans="1:7" ht="18" customHeight="1" thickBot="1">
      <c r="A20" s="28"/>
      <c r="B20" s="29"/>
      <c r="C20" s="30" t="s">
        <v>14</v>
      </c>
      <c r="D20" s="31"/>
      <c r="E20" s="31"/>
      <c r="F20" s="167">
        <f>SUM(G19)</f>
        <v>3293739.9488000004</v>
      </c>
      <c r="G20" s="168"/>
    </row>
    <row r="21" spans="1:7" ht="12" customHeight="1" thickTop="1">
      <c r="A21" s="32"/>
      <c r="B21" s="16"/>
      <c r="D21" s="33"/>
      <c r="E21" s="33"/>
      <c r="F21" s="33"/>
      <c r="G21" s="34"/>
    </row>
    <row r="22" spans="1:7" ht="16.899999999999999" customHeight="1">
      <c r="A22" s="16" t="s">
        <v>15</v>
      </c>
      <c r="B22" s="16"/>
    </row>
    <row r="23" spans="1:7" s="37" customFormat="1" ht="16.899999999999999" customHeight="1">
      <c r="A23" s="169" t="s">
        <v>16</v>
      </c>
      <c r="B23" s="169"/>
      <c r="C23" s="35" t="s">
        <v>87</v>
      </c>
      <c r="D23" s="35"/>
      <c r="E23" s="35"/>
      <c r="F23" s="35"/>
      <c r="G23" s="36"/>
    </row>
    <row r="24" spans="1:7" ht="16.899999999999999" customHeight="1">
      <c r="A24" s="16" t="s">
        <v>17</v>
      </c>
      <c r="C24" s="38" t="s">
        <v>79</v>
      </c>
      <c r="D24" s="38"/>
      <c r="E24" s="38"/>
      <c r="F24" s="38"/>
      <c r="G24" s="39"/>
    </row>
    <row r="25" spans="1:7" ht="16.899999999999999" customHeight="1">
      <c r="A25" s="16" t="s">
        <v>18</v>
      </c>
      <c r="C25" s="38" t="s">
        <v>86</v>
      </c>
      <c r="D25" s="38"/>
      <c r="E25" s="38"/>
      <c r="F25" s="38"/>
    </row>
    <row r="26" spans="1:7" ht="16.899999999999999" customHeight="1">
      <c r="A26" s="16"/>
      <c r="C26" s="38" t="s">
        <v>19</v>
      </c>
      <c r="D26" s="38"/>
      <c r="E26" s="38"/>
      <c r="F26" s="38"/>
    </row>
    <row r="27" spans="1:7" ht="12" customHeight="1">
      <c r="A27" s="16"/>
      <c r="C27" s="38" t="s">
        <v>80</v>
      </c>
      <c r="D27" s="38"/>
      <c r="E27" s="38"/>
      <c r="F27" s="38"/>
    </row>
    <row r="28" spans="1:7" ht="16.899999999999999" customHeight="1">
      <c r="A28" s="40" t="s">
        <v>20</v>
      </c>
      <c r="G28" s="41"/>
    </row>
    <row r="29" spans="1:7" s="16" customFormat="1" ht="16.899999999999999" customHeight="1">
      <c r="A29" s="42" t="s">
        <v>21</v>
      </c>
      <c r="B29" s="43"/>
      <c r="C29" s="43"/>
      <c r="D29" s="43"/>
      <c r="E29" s="43"/>
      <c r="F29" s="43"/>
      <c r="G29" s="43"/>
    </row>
    <row r="30" spans="1:7" s="16" customFormat="1" ht="16.899999999999999" customHeight="1">
      <c r="A30" s="42" t="s">
        <v>22</v>
      </c>
      <c r="B30" s="43"/>
      <c r="C30" s="43"/>
      <c r="D30" s="43"/>
      <c r="E30" s="43"/>
      <c r="F30" s="43"/>
      <c r="G30" s="43"/>
    </row>
    <row r="31" spans="1:7" s="16" customFormat="1" ht="16.899999999999999" customHeight="1">
      <c r="A31" s="42" t="s">
        <v>23</v>
      </c>
      <c r="B31" s="43"/>
      <c r="C31" s="43"/>
      <c r="D31" s="43"/>
      <c r="E31" s="43"/>
      <c r="F31" s="43"/>
      <c r="G31" s="43"/>
    </row>
    <row r="32" spans="1:7" s="16" customFormat="1" ht="16.899999999999999" customHeight="1">
      <c r="A32" s="42" t="s">
        <v>81</v>
      </c>
      <c r="B32" s="43"/>
      <c r="C32" s="43"/>
      <c r="D32" s="43"/>
      <c r="E32" s="43"/>
      <c r="F32" s="43"/>
      <c r="G32" s="43"/>
    </row>
    <row r="33" spans="1:7" s="16" customFormat="1" ht="12" customHeight="1">
      <c r="A33" s="42"/>
      <c r="B33" s="12"/>
      <c r="C33" s="12"/>
      <c r="D33" s="12"/>
      <c r="E33" s="12"/>
      <c r="F33" s="12"/>
      <c r="G33" s="44"/>
    </row>
    <row r="34" spans="1:7" ht="36" customHeight="1">
      <c r="A34" s="170" t="s">
        <v>24</v>
      </c>
      <c r="B34" s="170"/>
      <c r="C34" s="170"/>
      <c r="D34" s="170"/>
      <c r="E34" s="170"/>
      <c r="F34" s="170"/>
      <c r="G34" s="170"/>
    </row>
    <row r="35" spans="1:7" ht="12" customHeight="1">
      <c r="A35" s="45"/>
      <c r="G35" s="41"/>
    </row>
    <row r="36" spans="1:7" s="41" customFormat="1" ht="18" customHeight="1">
      <c r="A36" s="45" t="s">
        <v>25</v>
      </c>
      <c r="B36" s="11"/>
      <c r="C36" s="11"/>
      <c r="D36" s="11"/>
      <c r="E36" s="37"/>
      <c r="F36" s="37"/>
    </row>
    <row r="37" spans="1:7" s="41" customFormat="1" ht="12" customHeight="1">
      <c r="A37" s="45"/>
      <c r="B37" s="11"/>
      <c r="C37" s="11"/>
      <c r="D37" s="11"/>
      <c r="E37" s="11"/>
      <c r="F37" s="11"/>
    </row>
    <row r="38" spans="1:7" s="41" customFormat="1" ht="18" customHeight="1">
      <c r="A38" s="46" t="s">
        <v>26</v>
      </c>
      <c r="B38" s="11"/>
      <c r="C38" s="11"/>
      <c r="D38" s="37" t="s">
        <v>27</v>
      </c>
      <c r="F38" s="37"/>
    </row>
    <row r="39" spans="1:7" s="41" customFormat="1" ht="18" customHeight="1">
      <c r="A39" s="45"/>
      <c r="B39" s="11"/>
      <c r="C39" s="11"/>
      <c r="D39" s="37" t="s">
        <v>174</v>
      </c>
    </row>
    <row r="40" spans="1:7" s="41" customFormat="1" ht="18" customHeight="1">
      <c r="A40" s="47" t="s">
        <v>84</v>
      </c>
      <c r="B40" s="12"/>
      <c r="C40" s="38"/>
      <c r="D40" s="12" t="s">
        <v>28</v>
      </c>
    </row>
    <row r="41" spans="1:7" s="41" customFormat="1" ht="18" customHeight="1">
      <c r="A41" s="48" t="s">
        <v>85</v>
      </c>
      <c r="B41" s="38"/>
      <c r="C41" s="38"/>
      <c r="D41" s="11" t="s">
        <v>29</v>
      </c>
    </row>
    <row r="42" spans="1:7" s="41" customFormat="1" ht="18" customHeight="1">
      <c r="A42" s="49"/>
      <c r="B42" s="11"/>
      <c r="C42" s="11"/>
      <c r="D42" s="11"/>
      <c r="E42" s="11"/>
    </row>
    <row r="43" spans="1:7" s="41" customFormat="1" ht="18" customHeight="1">
      <c r="A43" s="45"/>
      <c r="B43" s="11"/>
      <c r="C43" s="11"/>
      <c r="D43" s="11"/>
      <c r="E43" s="11"/>
    </row>
    <row r="44" spans="1:7" s="41" customFormat="1" ht="18" customHeight="1">
      <c r="A44" s="45"/>
      <c r="B44" s="11"/>
      <c r="C44" s="11"/>
      <c r="D44" s="11"/>
      <c r="E44" s="11"/>
    </row>
    <row r="45" spans="1:7" ht="18" customHeight="1"/>
    <row r="46" spans="1:7" ht="18" customHeight="1"/>
    <row r="47" spans="1:7" ht="18" customHeight="1"/>
    <row r="48" spans="1:7" ht="18" customHeight="1"/>
    <row r="49" spans="2:9" ht="18" customHeight="1">
      <c r="F49" s="50"/>
      <c r="H49" s="50"/>
      <c r="I49" s="50"/>
    </row>
    <row r="50" spans="2:9" ht="18" customHeight="1"/>
    <row r="51" spans="2:9" ht="18" customHeight="1"/>
    <row r="52" spans="2:9" ht="18" customHeight="1"/>
    <row r="53" spans="2:9" ht="18" customHeight="1"/>
    <row r="54" spans="2:9" ht="18" customHeight="1"/>
    <row r="55" spans="2:9" ht="18" customHeight="1"/>
    <row r="56" spans="2:9" ht="18" customHeight="1"/>
    <row r="57" spans="2:9" ht="18" customHeight="1"/>
    <row r="58" spans="2:9" ht="18" customHeight="1"/>
    <row r="59" spans="2:9" ht="18" customHeight="1"/>
    <row r="60" spans="2:9" ht="18" customHeight="1"/>
    <row r="61" spans="2:9" ht="18" customHeight="1"/>
    <row r="62" spans="2:9" ht="18" customHeight="1"/>
    <row r="63" spans="2:9" ht="18" customHeight="1">
      <c r="B63" s="11" t="s">
        <v>82</v>
      </c>
      <c r="E63" s="11">
        <v>1600</v>
      </c>
    </row>
    <row r="64" spans="2:9" ht="18" customHeight="1"/>
    <row r="65" spans="3:5" ht="18" customHeight="1"/>
    <row r="66" spans="3:5" ht="18" customHeight="1"/>
    <row r="67" spans="3:5" ht="18" customHeight="1"/>
    <row r="68" spans="3:5" ht="18" customHeight="1"/>
    <row r="69" spans="3:5" ht="18" customHeight="1"/>
    <row r="70" spans="3:5" ht="18" customHeight="1"/>
    <row r="71" spans="3:5" ht="18" customHeight="1"/>
    <row r="72" spans="3:5" ht="18" customHeight="1"/>
    <row r="73" spans="3:5" ht="18" customHeight="1"/>
    <row r="74" spans="3:5" ht="18" customHeight="1">
      <c r="C74" s="11">
        <v>22.88</v>
      </c>
      <c r="E74" s="11">
        <v>817.745</v>
      </c>
    </row>
    <row r="75" spans="3:5" ht="18" customHeight="1"/>
    <row r="76" spans="3:5" ht="18" customHeight="1"/>
    <row r="77" spans="3:5" ht="18" customHeight="1"/>
    <row r="78" spans="3:5" ht="18" customHeight="1"/>
    <row r="79" spans="3:5" ht="18" customHeight="1"/>
    <row r="80" spans="3:5"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spans="6:8" ht="18" customHeight="1"/>
    <row r="98" spans="6:8" ht="18" customHeight="1"/>
    <row r="99" spans="6:8" ht="18" customHeight="1"/>
    <row r="100" spans="6:8" ht="18" customHeight="1"/>
    <row r="101" spans="6:8" ht="18" customHeight="1"/>
    <row r="102" spans="6:8" ht="18" customHeight="1"/>
    <row r="108" spans="6:8" ht="15" customHeight="1">
      <c r="F108" s="11">
        <f>SUM(F100:F107)</f>
        <v>0</v>
      </c>
      <c r="H108" s="11">
        <f>SUM(H100:H107)</f>
        <v>0</v>
      </c>
    </row>
    <row r="250" spans="3:5" ht="15" customHeight="1">
      <c r="C250" s="11">
        <v>1</v>
      </c>
      <c r="D250" s="11" t="s">
        <v>13</v>
      </c>
      <c r="E250" s="11">
        <v>16800</v>
      </c>
    </row>
  </sheetData>
  <mergeCells count="9">
    <mergeCell ref="F20:G20"/>
    <mergeCell ref="A23:B23"/>
    <mergeCell ref="A34:G34"/>
    <mergeCell ref="A17:A18"/>
    <mergeCell ref="B17:C18"/>
    <mergeCell ref="D17:D18"/>
    <mergeCell ref="E17:E18"/>
    <mergeCell ref="F17:F18"/>
    <mergeCell ref="B19:C19"/>
  </mergeCells>
  <printOptions horizontalCentered="1"/>
  <pageMargins left="0.7" right="0.75" top="0.75" bottom="0.75" header="0.3" footer="0.3"/>
  <pageSetup paperSize="9" scale="77" fitToHeight="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199"/>
  <sheetViews>
    <sheetView tabSelected="1" view="pageBreakPreview" topLeftCell="A181" zoomScaleNormal="100" zoomScaleSheetLayoutView="100" workbookViewId="0">
      <selection activeCell="C198" sqref="C198"/>
    </sheetView>
  </sheetViews>
  <sheetFormatPr defaultRowHeight="12.75"/>
  <cols>
    <col min="1" max="1" width="12.83203125" style="58" customWidth="1"/>
    <col min="2" max="2" width="66.5" style="89" customWidth="1"/>
    <col min="3" max="3" width="8.6640625" style="111" customWidth="1"/>
    <col min="4" max="4" width="9.6640625" style="90" customWidth="1"/>
    <col min="5" max="5" width="14.33203125" style="55" hidden="1" customWidth="1"/>
    <col min="6" max="6" width="16" style="55" hidden="1" customWidth="1"/>
    <col min="7" max="7" width="15.33203125" style="55" hidden="1" customWidth="1"/>
    <col min="8" max="8" width="20.1640625" style="55" hidden="1" customWidth="1"/>
    <col min="9" max="9" width="23.5" style="55" hidden="1" customWidth="1"/>
    <col min="10" max="10" width="14.33203125" style="55" customWidth="1"/>
    <col min="11" max="11" width="16" style="55" customWidth="1"/>
    <col min="12" max="12" width="15.33203125" style="55" customWidth="1"/>
    <col min="13" max="13" width="20.1640625" style="55" customWidth="1"/>
    <col min="14" max="14" width="21.83203125" style="55" customWidth="1"/>
  </cols>
  <sheetData>
    <row r="1" spans="1:14" ht="15" customHeight="1">
      <c r="A1" s="53" t="s">
        <v>30</v>
      </c>
      <c r="B1" s="9" t="s">
        <v>108</v>
      </c>
      <c r="C1" s="108"/>
      <c r="D1" s="54"/>
      <c r="F1" s="56"/>
      <c r="G1" s="57"/>
      <c r="K1" s="56"/>
      <c r="L1" s="57"/>
    </row>
    <row r="2" spans="1:14" ht="15" customHeight="1">
      <c r="A2" s="53" t="s">
        <v>31</v>
      </c>
      <c r="B2" s="9" t="s">
        <v>73</v>
      </c>
      <c r="C2" s="108"/>
      <c r="D2" s="54"/>
      <c r="F2" s="56"/>
      <c r="G2" s="57"/>
      <c r="K2" s="56"/>
      <c r="L2" s="57"/>
    </row>
    <row r="3" spans="1:14" ht="15" customHeight="1">
      <c r="A3" s="59" t="s">
        <v>2</v>
      </c>
      <c r="B3" s="9" t="s">
        <v>110</v>
      </c>
      <c r="C3" s="109"/>
      <c r="D3" s="60"/>
      <c r="F3" s="61"/>
      <c r="G3" s="62"/>
      <c r="K3" s="61"/>
      <c r="L3" s="62"/>
    </row>
    <row r="4" spans="1:14" ht="15" customHeight="1">
      <c r="A4" s="59" t="s">
        <v>32</v>
      </c>
      <c r="B4" s="9" t="s">
        <v>109</v>
      </c>
      <c r="C4" s="109"/>
      <c r="D4" s="60"/>
      <c r="F4" s="61"/>
      <c r="G4" s="62"/>
      <c r="K4" s="61"/>
      <c r="L4" s="62"/>
    </row>
    <row r="5" spans="1:14" ht="15" customHeight="1">
      <c r="A5" s="59" t="s">
        <v>1</v>
      </c>
      <c r="B5" s="63" t="s">
        <v>107</v>
      </c>
      <c r="C5" s="109"/>
      <c r="D5" s="64"/>
      <c r="F5" s="61"/>
      <c r="G5" s="62"/>
      <c r="K5" s="61"/>
      <c r="L5" s="62"/>
    </row>
    <row r="6" spans="1:14" ht="15" customHeight="1">
      <c r="A6" s="59"/>
      <c r="B6" s="65"/>
      <c r="C6" s="109"/>
      <c r="D6" s="64"/>
      <c r="F6" s="61"/>
      <c r="G6" s="66" t="s">
        <v>74</v>
      </c>
      <c r="H6" s="67">
        <v>1.6</v>
      </c>
      <c r="I6" s="99">
        <v>1.25</v>
      </c>
      <c r="K6" s="61"/>
      <c r="L6" s="68"/>
      <c r="M6" s="69"/>
      <c r="N6" s="100"/>
    </row>
    <row r="7" spans="1:14" ht="15" customHeight="1" thickBot="1">
      <c r="A7" s="59"/>
      <c r="B7" s="65"/>
      <c r="C7" s="109"/>
      <c r="D7" s="64"/>
      <c r="F7" s="61"/>
      <c r="G7" s="66">
        <v>1.1499999999999999</v>
      </c>
      <c r="H7" s="67">
        <v>1.75</v>
      </c>
      <c r="I7" s="70">
        <f>(N193-I193)/I193</f>
        <v>0.3147896753548271</v>
      </c>
      <c r="K7" s="61"/>
      <c r="L7" s="68"/>
      <c r="M7" s="69"/>
    </row>
    <row r="8" spans="1:14" s="91" customFormat="1" ht="15" customHeight="1">
      <c r="A8" s="189" t="s">
        <v>33</v>
      </c>
      <c r="B8" s="191" t="s">
        <v>34</v>
      </c>
      <c r="C8" s="193" t="s">
        <v>35</v>
      </c>
      <c r="D8" s="191" t="s">
        <v>36</v>
      </c>
      <c r="E8" s="193" t="s">
        <v>37</v>
      </c>
      <c r="F8" s="193"/>
      <c r="G8" s="193"/>
      <c r="H8" s="193"/>
      <c r="I8" s="196" t="s">
        <v>38</v>
      </c>
      <c r="J8" s="193" t="s">
        <v>37</v>
      </c>
      <c r="K8" s="193"/>
      <c r="L8" s="193"/>
      <c r="M8" s="193"/>
      <c r="N8" s="198" t="s">
        <v>38</v>
      </c>
    </row>
    <row r="9" spans="1:14" s="91" customFormat="1" ht="18" customHeight="1">
      <c r="A9" s="190"/>
      <c r="B9" s="192"/>
      <c r="C9" s="194"/>
      <c r="D9" s="192"/>
      <c r="E9" s="92" t="s">
        <v>39</v>
      </c>
      <c r="F9" s="92" t="s">
        <v>40</v>
      </c>
      <c r="G9" s="92" t="s">
        <v>41</v>
      </c>
      <c r="H9" s="92" t="s">
        <v>40</v>
      </c>
      <c r="I9" s="197"/>
      <c r="J9" s="92" t="s">
        <v>39</v>
      </c>
      <c r="K9" s="92" t="s">
        <v>40</v>
      </c>
      <c r="L9" s="92" t="s">
        <v>41</v>
      </c>
      <c r="M9" s="92" t="s">
        <v>40</v>
      </c>
      <c r="N9" s="199"/>
    </row>
    <row r="10" spans="1:14" ht="16.5" customHeight="1">
      <c r="A10" s="71" t="s">
        <v>71</v>
      </c>
      <c r="B10" s="72" t="s">
        <v>72</v>
      </c>
      <c r="C10" s="101"/>
      <c r="D10" s="72"/>
      <c r="E10" s="101"/>
      <c r="F10" s="73"/>
      <c r="G10" s="73">
        <v>0.4</v>
      </c>
      <c r="H10" s="73">
        <v>0.25</v>
      </c>
      <c r="I10" s="73"/>
      <c r="J10" s="101"/>
      <c r="K10" s="73"/>
      <c r="L10" s="73"/>
      <c r="M10" s="73"/>
      <c r="N10" s="102"/>
    </row>
    <row r="11" spans="1:14" ht="15" customHeight="1">
      <c r="A11" s="98" t="s">
        <v>88</v>
      </c>
      <c r="B11" s="3" t="s">
        <v>50</v>
      </c>
      <c r="C11" s="110">
        <v>1</v>
      </c>
      <c r="D11" s="4" t="s">
        <v>13</v>
      </c>
      <c r="E11" s="74"/>
      <c r="F11" s="75"/>
      <c r="G11" s="76">
        <v>50000</v>
      </c>
      <c r="H11" s="76">
        <f>G11*C11</f>
        <v>50000</v>
      </c>
      <c r="I11" s="76">
        <f>H11+F11</f>
        <v>50000</v>
      </c>
      <c r="J11" s="74"/>
      <c r="K11" s="75"/>
      <c r="L11" s="76">
        <f>G11*$H$7/$I$6</f>
        <v>70000</v>
      </c>
      <c r="M11" s="76">
        <f>L11*C11</f>
        <v>70000</v>
      </c>
      <c r="N11" s="103">
        <f>M11+K11</f>
        <v>70000</v>
      </c>
    </row>
    <row r="12" spans="1:14" ht="15" customHeight="1">
      <c r="A12" s="98"/>
      <c r="B12" s="3" t="s">
        <v>51</v>
      </c>
      <c r="C12" s="110"/>
      <c r="D12" s="4"/>
      <c r="E12" s="74"/>
      <c r="F12" s="75"/>
      <c r="G12" s="76"/>
      <c r="H12" s="76"/>
      <c r="I12" s="76"/>
      <c r="J12" s="74"/>
      <c r="K12" s="75"/>
      <c r="L12" s="76"/>
      <c r="M12" s="76"/>
      <c r="N12" s="103"/>
    </row>
    <row r="13" spans="1:14" ht="15" customHeight="1">
      <c r="A13" s="98" t="s">
        <v>92</v>
      </c>
      <c r="B13" s="5" t="s">
        <v>52</v>
      </c>
      <c r="C13" s="110">
        <v>1</v>
      </c>
      <c r="D13" s="4" t="s">
        <v>13</v>
      </c>
      <c r="E13" s="74"/>
      <c r="F13" s="75"/>
      <c r="G13" s="76">
        <v>20000</v>
      </c>
      <c r="H13" s="76">
        <f t="shared" ref="H13:H15" si="0">G13*C13</f>
        <v>20000</v>
      </c>
      <c r="I13" s="76">
        <f t="shared" ref="I13:I15" si="1">H13+F13</f>
        <v>20000</v>
      </c>
      <c r="J13" s="74"/>
      <c r="K13" s="75"/>
      <c r="L13" s="76">
        <f t="shared" ref="L13:L15" si="2">G13*$H$7/$I$6</f>
        <v>28000</v>
      </c>
      <c r="M13" s="76">
        <f t="shared" ref="M13:M15" si="3">L13*C13</f>
        <v>28000</v>
      </c>
      <c r="N13" s="103">
        <f t="shared" ref="N13:N15" si="4">M13+K13</f>
        <v>28000</v>
      </c>
    </row>
    <row r="14" spans="1:14" ht="15" customHeight="1">
      <c r="A14" s="98" t="s">
        <v>93</v>
      </c>
      <c r="B14" s="5" t="s">
        <v>53</v>
      </c>
      <c r="C14" s="110">
        <v>1</v>
      </c>
      <c r="D14" s="4" t="s">
        <v>13</v>
      </c>
      <c r="E14" s="74"/>
      <c r="F14" s="75"/>
      <c r="G14" s="76">
        <v>15000</v>
      </c>
      <c r="H14" s="76">
        <f t="shared" si="0"/>
        <v>15000</v>
      </c>
      <c r="I14" s="76">
        <f t="shared" si="1"/>
        <v>15000</v>
      </c>
      <c r="J14" s="74"/>
      <c r="K14" s="75"/>
      <c r="L14" s="76">
        <f t="shared" si="2"/>
        <v>21000</v>
      </c>
      <c r="M14" s="76">
        <f t="shared" si="3"/>
        <v>21000</v>
      </c>
      <c r="N14" s="103">
        <f t="shared" si="4"/>
        <v>21000</v>
      </c>
    </row>
    <row r="15" spans="1:14" ht="15" customHeight="1">
      <c r="A15" s="98" t="s">
        <v>94</v>
      </c>
      <c r="B15" s="5" t="s">
        <v>54</v>
      </c>
      <c r="C15" s="110">
        <v>1</v>
      </c>
      <c r="D15" s="4" t="s">
        <v>13</v>
      </c>
      <c r="E15" s="74"/>
      <c r="F15" s="75"/>
      <c r="G15" s="76">
        <v>50000</v>
      </c>
      <c r="H15" s="76">
        <f t="shared" si="0"/>
        <v>50000</v>
      </c>
      <c r="I15" s="76">
        <f t="shared" si="1"/>
        <v>50000</v>
      </c>
      <c r="J15" s="74"/>
      <c r="K15" s="75"/>
      <c r="L15" s="76">
        <f t="shared" si="2"/>
        <v>70000</v>
      </c>
      <c r="M15" s="76">
        <f t="shared" si="3"/>
        <v>70000</v>
      </c>
      <c r="N15" s="103">
        <f t="shared" si="4"/>
        <v>70000</v>
      </c>
    </row>
    <row r="16" spans="1:14" ht="15" customHeight="1">
      <c r="A16" s="98"/>
      <c r="B16" s="3" t="s">
        <v>55</v>
      </c>
      <c r="C16" s="110"/>
      <c r="D16" s="4"/>
      <c r="E16" s="74"/>
      <c r="F16" s="75"/>
      <c r="G16" s="76"/>
      <c r="H16" s="76"/>
      <c r="I16" s="76"/>
      <c r="J16" s="74"/>
      <c r="K16" s="75"/>
      <c r="L16" s="76"/>
      <c r="M16" s="76"/>
      <c r="N16" s="103"/>
    </row>
    <row r="17" spans="1:14" ht="15" customHeight="1">
      <c r="A17" s="98" t="s">
        <v>95</v>
      </c>
      <c r="B17" s="5" t="s">
        <v>56</v>
      </c>
      <c r="C17" s="110">
        <v>1</v>
      </c>
      <c r="D17" s="4" t="s">
        <v>13</v>
      </c>
      <c r="E17" s="74"/>
      <c r="F17" s="75"/>
      <c r="G17" s="76">
        <v>5000</v>
      </c>
      <c r="H17" s="76">
        <f t="shared" ref="H17:H27" si="5">G17*C17</f>
        <v>5000</v>
      </c>
      <c r="I17" s="76">
        <f t="shared" ref="I17:I27" si="6">H17+F17</f>
        <v>5000</v>
      </c>
      <c r="J17" s="74"/>
      <c r="K17" s="75"/>
      <c r="L17" s="76">
        <f t="shared" ref="L17:L27" si="7">G17*$H$7/$I$6</f>
        <v>7000</v>
      </c>
      <c r="M17" s="76">
        <f t="shared" ref="M17:M27" si="8">L17*C17</f>
        <v>7000</v>
      </c>
      <c r="N17" s="103">
        <f t="shared" ref="N17:N27" si="9">M17+K17</f>
        <v>7000</v>
      </c>
    </row>
    <row r="18" spans="1:14" ht="15" customHeight="1">
      <c r="A18" s="98" t="s">
        <v>96</v>
      </c>
      <c r="B18" s="5" t="s">
        <v>57</v>
      </c>
      <c r="C18" s="110">
        <v>1</v>
      </c>
      <c r="D18" s="4" t="s">
        <v>13</v>
      </c>
      <c r="E18" s="74"/>
      <c r="F18" s="75"/>
      <c r="G18" s="76">
        <v>5000</v>
      </c>
      <c r="H18" s="76">
        <f t="shared" si="5"/>
        <v>5000</v>
      </c>
      <c r="I18" s="76">
        <f t="shared" si="6"/>
        <v>5000</v>
      </c>
      <c r="J18" s="74"/>
      <c r="K18" s="75"/>
      <c r="L18" s="76">
        <f t="shared" si="7"/>
        <v>7000</v>
      </c>
      <c r="M18" s="76">
        <f t="shared" si="8"/>
        <v>7000</v>
      </c>
      <c r="N18" s="103">
        <f t="shared" si="9"/>
        <v>7000</v>
      </c>
    </row>
    <row r="19" spans="1:14" ht="15" customHeight="1">
      <c r="A19" s="98" t="s">
        <v>89</v>
      </c>
      <c r="B19" s="5" t="s">
        <v>58</v>
      </c>
      <c r="C19" s="110">
        <v>1</v>
      </c>
      <c r="D19" s="4" t="s">
        <v>13</v>
      </c>
      <c r="E19" s="74"/>
      <c r="F19" s="75"/>
      <c r="G19" s="76">
        <v>5000</v>
      </c>
      <c r="H19" s="76">
        <f t="shared" si="5"/>
        <v>5000</v>
      </c>
      <c r="I19" s="76">
        <f t="shared" si="6"/>
        <v>5000</v>
      </c>
      <c r="J19" s="74"/>
      <c r="K19" s="75"/>
      <c r="L19" s="76">
        <f t="shared" si="7"/>
        <v>7000</v>
      </c>
      <c r="M19" s="76">
        <f t="shared" si="8"/>
        <v>7000</v>
      </c>
      <c r="N19" s="103">
        <f t="shared" si="9"/>
        <v>7000</v>
      </c>
    </row>
    <row r="20" spans="1:14" ht="15" customHeight="1">
      <c r="A20" s="98" t="s">
        <v>97</v>
      </c>
      <c r="B20" s="5" t="s">
        <v>59</v>
      </c>
      <c r="C20" s="110">
        <v>1</v>
      </c>
      <c r="D20" s="4" t="s">
        <v>13</v>
      </c>
      <c r="E20" s="74"/>
      <c r="F20" s="75"/>
      <c r="G20" s="76">
        <v>3000</v>
      </c>
      <c r="H20" s="76">
        <f t="shared" si="5"/>
        <v>3000</v>
      </c>
      <c r="I20" s="76">
        <f t="shared" si="6"/>
        <v>3000</v>
      </c>
      <c r="J20" s="74"/>
      <c r="K20" s="75"/>
      <c r="L20" s="76">
        <f t="shared" si="7"/>
        <v>4200</v>
      </c>
      <c r="M20" s="76">
        <f t="shared" si="8"/>
        <v>4200</v>
      </c>
      <c r="N20" s="103">
        <f t="shared" si="9"/>
        <v>4200</v>
      </c>
    </row>
    <row r="21" spans="1:14" ht="15" customHeight="1">
      <c r="A21" s="98" t="s">
        <v>98</v>
      </c>
      <c r="B21" s="3" t="s">
        <v>60</v>
      </c>
      <c r="C21" s="110">
        <v>1</v>
      </c>
      <c r="D21" s="4" t="s">
        <v>13</v>
      </c>
      <c r="E21" s="74"/>
      <c r="F21" s="75"/>
      <c r="G21" s="76">
        <v>30000</v>
      </c>
      <c r="H21" s="76">
        <f t="shared" si="5"/>
        <v>30000</v>
      </c>
      <c r="I21" s="76">
        <f t="shared" si="6"/>
        <v>30000</v>
      </c>
      <c r="J21" s="74"/>
      <c r="K21" s="75"/>
      <c r="L21" s="76">
        <f t="shared" si="7"/>
        <v>42000</v>
      </c>
      <c r="M21" s="76">
        <f t="shared" si="8"/>
        <v>42000</v>
      </c>
      <c r="N21" s="103">
        <f t="shared" si="9"/>
        <v>42000</v>
      </c>
    </row>
    <row r="22" spans="1:14" ht="15" hidden="1" customHeight="1">
      <c r="A22" s="98"/>
      <c r="B22" s="3" t="s">
        <v>61</v>
      </c>
      <c r="C22" s="110">
        <v>1</v>
      </c>
      <c r="D22" s="4" t="s">
        <v>13</v>
      </c>
      <c r="E22" s="74"/>
      <c r="F22" s="75"/>
      <c r="G22" s="76"/>
      <c r="H22" s="76">
        <f t="shared" si="5"/>
        <v>0</v>
      </c>
      <c r="I22" s="76">
        <f t="shared" si="6"/>
        <v>0</v>
      </c>
      <c r="J22" s="74"/>
      <c r="K22" s="75"/>
      <c r="L22" s="76">
        <f t="shared" si="7"/>
        <v>0</v>
      </c>
      <c r="M22" s="76">
        <f t="shared" si="8"/>
        <v>0</v>
      </c>
      <c r="N22" s="103">
        <f t="shared" si="9"/>
        <v>0</v>
      </c>
    </row>
    <row r="23" spans="1:14" ht="15" hidden="1" customHeight="1">
      <c r="A23" s="98" t="s">
        <v>99</v>
      </c>
      <c r="B23" s="5" t="s">
        <v>62</v>
      </c>
      <c r="C23" s="110">
        <v>1</v>
      </c>
      <c r="D23" s="4" t="s">
        <v>13</v>
      </c>
      <c r="E23" s="74"/>
      <c r="F23" s="75"/>
      <c r="G23" s="76"/>
      <c r="H23" s="76">
        <f t="shared" si="5"/>
        <v>0</v>
      </c>
      <c r="I23" s="76">
        <f t="shared" si="6"/>
        <v>0</v>
      </c>
      <c r="J23" s="74"/>
      <c r="K23" s="75"/>
      <c r="L23" s="76">
        <f t="shared" si="7"/>
        <v>0</v>
      </c>
      <c r="M23" s="76">
        <f t="shared" si="8"/>
        <v>0</v>
      </c>
      <c r="N23" s="103">
        <f t="shared" si="9"/>
        <v>0</v>
      </c>
    </row>
    <row r="24" spans="1:14" ht="15" hidden="1" customHeight="1">
      <c r="A24" s="98" t="s">
        <v>100</v>
      </c>
      <c r="B24" s="5" t="s">
        <v>63</v>
      </c>
      <c r="C24" s="110">
        <v>1</v>
      </c>
      <c r="D24" s="4" t="s">
        <v>13</v>
      </c>
      <c r="E24" s="74"/>
      <c r="F24" s="75"/>
      <c r="G24" s="76"/>
      <c r="H24" s="76">
        <f t="shared" si="5"/>
        <v>0</v>
      </c>
      <c r="I24" s="76">
        <f t="shared" si="6"/>
        <v>0</v>
      </c>
      <c r="J24" s="74"/>
      <c r="K24" s="75"/>
      <c r="L24" s="76">
        <f t="shared" si="7"/>
        <v>0</v>
      </c>
      <c r="M24" s="76">
        <f t="shared" si="8"/>
        <v>0</v>
      </c>
      <c r="N24" s="103">
        <f t="shared" si="9"/>
        <v>0</v>
      </c>
    </row>
    <row r="25" spans="1:14" ht="15" hidden="1" customHeight="1">
      <c r="A25" s="98" t="s">
        <v>101</v>
      </c>
      <c r="B25" s="5" t="s">
        <v>64</v>
      </c>
      <c r="C25" s="110">
        <v>1</v>
      </c>
      <c r="D25" s="4" t="s">
        <v>13</v>
      </c>
      <c r="E25" s="74"/>
      <c r="F25" s="75"/>
      <c r="G25" s="76"/>
      <c r="H25" s="76">
        <f t="shared" si="5"/>
        <v>0</v>
      </c>
      <c r="I25" s="76">
        <f t="shared" si="6"/>
        <v>0</v>
      </c>
      <c r="J25" s="74"/>
      <c r="K25" s="75"/>
      <c r="L25" s="76">
        <f t="shared" si="7"/>
        <v>0</v>
      </c>
      <c r="M25" s="76">
        <f t="shared" si="8"/>
        <v>0</v>
      </c>
      <c r="N25" s="103">
        <f t="shared" si="9"/>
        <v>0</v>
      </c>
    </row>
    <row r="26" spans="1:14" ht="15" hidden="1" customHeight="1">
      <c r="A26" s="98" t="s">
        <v>102</v>
      </c>
      <c r="B26" s="5" t="s">
        <v>65</v>
      </c>
      <c r="C26" s="110">
        <v>1</v>
      </c>
      <c r="D26" s="4" t="s">
        <v>13</v>
      </c>
      <c r="E26" s="74"/>
      <c r="F26" s="75"/>
      <c r="G26" s="76"/>
      <c r="H26" s="76">
        <f t="shared" si="5"/>
        <v>0</v>
      </c>
      <c r="I26" s="76">
        <f t="shared" si="6"/>
        <v>0</v>
      </c>
      <c r="J26" s="74"/>
      <c r="K26" s="75"/>
      <c r="L26" s="76">
        <f t="shared" si="7"/>
        <v>0</v>
      </c>
      <c r="M26" s="76">
        <f t="shared" si="8"/>
        <v>0</v>
      </c>
      <c r="N26" s="103">
        <f t="shared" si="9"/>
        <v>0</v>
      </c>
    </row>
    <row r="27" spans="1:14" ht="15" customHeight="1">
      <c r="A27" s="98" t="s">
        <v>91</v>
      </c>
      <c r="B27" s="3" t="s">
        <v>66</v>
      </c>
      <c r="C27" s="110">
        <v>1</v>
      </c>
      <c r="D27" s="6" t="s">
        <v>13</v>
      </c>
      <c r="E27" s="74"/>
      <c r="F27" s="75"/>
      <c r="G27" s="76">
        <v>50000</v>
      </c>
      <c r="H27" s="76">
        <f t="shared" si="5"/>
        <v>50000</v>
      </c>
      <c r="I27" s="76">
        <f t="shared" si="6"/>
        <v>50000</v>
      </c>
      <c r="J27" s="74"/>
      <c r="K27" s="75"/>
      <c r="L27" s="76">
        <f t="shared" si="7"/>
        <v>70000</v>
      </c>
      <c r="M27" s="76">
        <f t="shared" si="8"/>
        <v>70000</v>
      </c>
      <c r="N27" s="103">
        <f t="shared" si="9"/>
        <v>70000</v>
      </c>
    </row>
    <row r="28" spans="1:14" ht="15" customHeight="1">
      <c r="A28" s="98"/>
      <c r="B28" s="7" t="s">
        <v>67</v>
      </c>
      <c r="C28" s="110"/>
      <c r="D28" s="4"/>
      <c r="E28" s="74"/>
      <c r="F28" s="75"/>
      <c r="G28" s="76"/>
      <c r="H28" s="76"/>
      <c r="I28" s="76"/>
      <c r="J28" s="74"/>
      <c r="K28" s="75"/>
      <c r="L28" s="76"/>
      <c r="M28" s="76"/>
      <c r="N28" s="103"/>
    </row>
    <row r="29" spans="1:14" ht="32.25" customHeight="1">
      <c r="A29" s="98" t="s">
        <v>103</v>
      </c>
      <c r="B29" s="8" t="s">
        <v>68</v>
      </c>
      <c r="C29" s="110">
        <v>1</v>
      </c>
      <c r="D29" s="4" t="s">
        <v>13</v>
      </c>
      <c r="E29" s="74"/>
      <c r="F29" s="75"/>
      <c r="G29" s="76">
        <v>25000</v>
      </c>
      <c r="H29" s="76">
        <f t="shared" ref="H29:H31" si="10">G29*C29</f>
        <v>25000</v>
      </c>
      <c r="I29" s="76">
        <f t="shared" ref="I29:I31" si="11">H29+F29</f>
        <v>25000</v>
      </c>
      <c r="J29" s="74"/>
      <c r="K29" s="75"/>
      <c r="L29" s="76">
        <f>G29*$H$7/$I$6</f>
        <v>35000</v>
      </c>
      <c r="M29" s="76">
        <f>L29*C29</f>
        <v>35000</v>
      </c>
      <c r="N29" s="103">
        <f>M29+K29</f>
        <v>35000</v>
      </c>
    </row>
    <row r="30" spans="1:14" ht="15" customHeight="1">
      <c r="A30" s="98" t="s">
        <v>90</v>
      </c>
      <c r="B30" s="3" t="s">
        <v>69</v>
      </c>
      <c r="C30" s="110">
        <v>1</v>
      </c>
      <c r="D30" s="6" t="s">
        <v>13</v>
      </c>
      <c r="E30" s="74"/>
      <c r="F30" s="75"/>
      <c r="G30" s="104">
        <v>20000</v>
      </c>
      <c r="H30" s="76">
        <f t="shared" si="10"/>
        <v>20000</v>
      </c>
      <c r="I30" s="76">
        <f t="shared" si="11"/>
        <v>20000</v>
      </c>
      <c r="J30" s="74"/>
      <c r="K30" s="75"/>
      <c r="L30" s="76">
        <f t="shared" ref="L30:L31" si="12">G30*$H$7/$I$6</f>
        <v>28000</v>
      </c>
      <c r="M30" s="76">
        <f t="shared" ref="M30:M31" si="13">L30*C30</f>
        <v>28000</v>
      </c>
      <c r="N30" s="103">
        <f t="shared" ref="N30:N31" si="14">M30+K30</f>
        <v>28000</v>
      </c>
    </row>
    <row r="31" spans="1:14" ht="15" customHeight="1">
      <c r="A31" s="98" t="s">
        <v>104</v>
      </c>
      <c r="B31" s="3" t="s">
        <v>70</v>
      </c>
      <c r="C31" s="110">
        <v>1</v>
      </c>
      <c r="D31" s="4" t="s">
        <v>13</v>
      </c>
      <c r="E31" s="74"/>
      <c r="F31" s="75"/>
      <c r="G31" s="76">
        <v>10000</v>
      </c>
      <c r="H31" s="76">
        <f t="shared" si="10"/>
        <v>10000</v>
      </c>
      <c r="I31" s="76">
        <f t="shared" si="11"/>
        <v>10000</v>
      </c>
      <c r="J31" s="74"/>
      <c r="K31" s="75"/>
      <c r="L31" s="76">
        <f t="shared" si="12"/>
        <v>14000</v>
      </c>
      <c r="M31" s="76">
        <f t="shared" si="13"/>
        <v>14000</v>
      </c>
      <c r="N31" s="103">
        <f t="shared" si="14"/>
        <v>14000</v>
      </c>
    </row>
    <row r="32" spans="1:14" s="1" customFormat="1" ht="15" customHeight="1">
      <c r="A32" s="77"/>
      <c r="B32" s="195" t="s">
        <v>42</v>
      </c>
      <c r="C32" s="195"/>
      <c r="D32" s="195"/>
      <c r="E32" s="78"/>
      <c r="F32" s="79"/>
      <c r="G32" s="80"/>
      <c r="H32" s="81"/>
      <c r="I32" s="96">
        <f>SUM(I11:I31)</f>
        <v>288000</v>
      </c>
      <c r="J32" s="93"/>
      <c r="K32" s="94"/>
      <c r="L32" s="95"/>
      <c r="M32" s="96"/>
      <c r="N32" s="105">
        <f>SUM(N11:N31)</f>
        <v>403200</v>
      </c>
    </row>
    <row r="33" spans="1:15" ht="15" customHeight="1">
      <c r="A33" s="71" t="s">
        <v>83</v>
      </c>
      <c r="B33" s="72" t="s">
        <v>105</v>
      </c>
      <c r="C33" s="101"/>
      <c r="D33" s="72"/>
      <c r="E33" s="82"/>
      <c r="F33" s="73"/>
      <c r="G33" s="73"/>
      <c r="H33" s="73"/>
      <c r="I33" s="73"/>
      <c r="J33" s="82"/>
      <c r="K33" s="73"/>
      <c r="L33" s="73"/>
      <c r="M33" s="73"/>
      <c r="N33" s="102"/>
    </row>
    <row r="34" spans="1:15" s="138" customFormat="1" ht="18.75" customHeight="1">
      <c r="A34" s="113"/>
      <c r="B34" s="146" t="s">
        <v>106</v>
      </c>
      <c r="C34" s="114"/>
      <c r="D34" s="115"/>
      <c r="E34" s="116"/>
      <c r="F34" s="117"/>
      <c r="G34" s="118"/>
      <c r="H34" s="118"/>
      <c r="I34" s="118"/>
      <c r="J34" s="120"/>
      <c r="K34" s="117"/>
      <c r="L34" s="118"/>
      <c r="M34" s="118"/>
      <c r="N34" s="119"/>
    </row>
    <row r="35" spans="1:15" s="124" customFormat="1" ht="15" customHeight="1">
      <c r="A35" s="98" t="s">
        <v>88</v>
      </c>
      <c r="B35" s="125" t="s">
        <v>112</v>
      </c>
      <c r="C35" s="126">
        <v>1</v>
      </c>
      <c r="D35" s="126" t="s">
        <v>113</v>
      </c>
      <c r="E35" s="127">
        <v>11000</v>
      </c>
      <c r="F35" s="83">
        <f>E35*C35</f>
        <v>11000</v>
      </c>
      <c r="G35" s="128">
        <v>1650</v>
      </c>
      <c r="H35" s="76">
        <f>G35*C35</f>
        <v>1650</v>
      </c>
      <c r="I35" s="76">
        <f>H35+F35</f>
        <v>12650</v>
      </c>
      <c r="J35" s="84">
        <f>E35*$H$6/$I$6</f>
        <v>14080</v>
      </c>
      <c r="K35" s="83">
        <f>J35*C35</f>
        <v>14080</v>
      </c>
      <c r="L35" s="76">
        <f>G35*$H$7/$I$6</f>
        <v>2310</v>
      </c>
      <c r="M35" s="76">
        <f>L35*C35</f>
        <v>2310</v>
      </c>
      <c r="N35" s="103">
        <f>M35+K35</f>
        <v>16390</v>
      </c>
      <c r="O35" s="142"/>
    </row>
    <row r="36" spans="1:15" s="129" customFormat="1" ht="15" customHeight="1">
      <c r="A36" s="98" t="s">
        <v>144</v>
      </c>
      <c r="B36" s="125" t="s">
        <v>114</v>
      </c>
      <c r="C36" s="126">
        <v>225</v>
      </c>
      <c r="D36" s="126" t="s">
        <v>115</v>
      </c>
      <c r="E36" s="127">
        <v>143</v>
      </c>
      <c r="F36" s="83">
        <f t="shared" ref="F36:F99" si="15">E36*C36</f>
        <v>32175</v>
      </c>
      <c r="G36" s="128">
        <v>21.45</v>
      </c>
      <c r="H36" s="76">
        <f t="shared" ref="H36:H99" si="16">G36*C36</f>
        <v>4826.25</v>
      </c>
      <c r="I36" s="76">
        <f t="shared" ref="I36:I99" si="17">H36+F36</f>
        <v>37001.25</v>
      </c>
      <c r="J36" s="84">
        <f t="shared" ref="J36:J99" si="18">E36*$H$6/$I$6</f>
        <v>183.04000000000002</v>
      </c>
      <c r="K36" s="83">
        <f t="shared" ref="K36:K99" si="19">J36*C36</f>
        <v>41184.000000000007</v>
      </c>
      <c r="L36" s="76">
        <f t="shared" ref="L36:L99" si="20">G36*$H$7/$I$6</f>
        <v>30.03</v>
      </c>
      <c r="M36" s="76">
        <f t="shared" ref="M36:M99" si="21">L36*C36</f>
        <v>6756.75</v>
      </c>
      <c r="N36" s="103">
        <f t="shared" ref="N36:N99" si="22">M36+K36</f>
        <v>47940.750000000007</v>
      </c>
      <c r="O36" s="143"/>
    </row>
    <row r="37" spans="1:15" s="129" customFormat="1" ht="15" customHeight="1">
      <c r="A37" s="98" t="s">
        <v>93</v>
      </c>
      <c r="B37" s="125" t="s">
        <v>116</v>
      </c>
      <c r="C37" s="126">
        <v>75</v>
      </c>
      <c r="D37" s="126" t="s">
        <v>115</v>
      </c>
      <c r="E37" s="127">
        <v>68</v>
      </c>
      <c r="F37" s="83">
        <f t="shared" si="15"/>
        <v>5100</v>
      </c>
      <c r="G37" s="128">
        <v>10.199999999999999</v>
      </c>
      <c r="H37" s="76">
        <f t="shared" si="16"/>
        <v>765</v>
      </c>
      <c r="I37" s="76">
        <f t="shared" si="17"/>
        <v>5865</v>
      </c>
      <c r="J37" s="84">
        <f t="shared" si="18"/>
        <v>87.04</v>
      </c>
      <c r="K37" s="83">
        <f t="shared" si="19"/>
        <v>6528.0000000000009</v>
      </c>
      <c r="L37" s="76">
        <f t="shared" si="20"/>
        <v>14.279999999999998</v>
      </c>
      <c r="M37" s="76">
        <f t="shared" si="21"/>
        <v>1070.9999999999998</v>
      </c>
      <c r="N37" s="103">
        <f t="shared" si="22"/>
        <v>7599.0000000000009</v>
      </c>
      <c r="O37" s="143"/>
    </row>
    <row r="38" spans="1:15" s="129" customFormat="1" ht="15" customHeight="1">
      <c r="A38" s="98" t="s">
        <v>94</v>
      </c>
      <c r="B38" s="125" t="s">
        <v>117</v>
      </c>
      <c r="C38" s="126">
        <v>1</v>
      </c>
      <c r="D38" s="126" t="s">
        <v>118</v>
      </c>
      <c r="E38" s="127">
        <v>4950</v>
      </c>
      <c r="F38" s="83">
        <f t="shared" si="15"/>
        <v>4950</v>
      </c>
      <c r="G38" s="128">
        <v>742.5</v>
      </c>
      <c r="H38" s="76">
        <f t="shared" si="16"/>
        <v>742.5</v>
      </c>
      <c r="I38" s="76">
        <f t="shared" si="17"/>
        <v>5692.5</v>
      </c>
      <c r="J38" s="84">
        <f t="shared" si="18"/>
        <v>6336</v>
      </c>
      <c r="K38" s="83">
        <f t="shared" si="19"/>
        <v>6336</v>
      </c>
      <c r="L38" s="76">
        <f t="shared" si="20"/>
        <v>1039.5</v>
      </c>
      <c r="M38" s="76">
        <f t="shared" si="21"/>
        <v>1039.5</v>
      </c>
      <c r="N38" s="103">
        <f t="shared" si="22"/>
        <v>7375.5</v>
      </c>
      <c r="O38" s="143"/>
    </row>
    <row r="39" spans="1:15" s="130" customFormat="1" ht="15" customHeight="1">
      <c r="A39" s="122" t="s">
        <v>95</v>
      </c>
      <c r="B39" s="125" t="s">
        <v>119</v>
      </c>
      <c r="C39" s="126">
        <v>25</v>
      </c>
      <c r="D39" s="126" t="s">
        <v>120</v>
      </c>
      <c r="E39" s="127">
        <v>1066</v>
      </c>
      <c r="F39" s="83">
        <f t="shared" si="15"/>
        <v>26650</v>
      </c>
      <c r="G39" s="128">
        <v>159.9</v>
      </c>
      <c r="H39" s="76">
        <f t="shared" si="16"/>
        <v>3997.5</v>
      </c>
      <c r="I39" s="76">
        <f t="shared" si="17"/>
        <v>30647.5</v>
      </c>
      <c r="J39" s="84">
        <f t="shared" si="18"/>
        <v>1364.48</v>
      </c>
      <c r="K39" s="83">
        <f t="shared" si="19"/>
        <v>34112</v>
      </c>
      <c r="L39" s="76">
        <f t="shared" si="20"/>
        <v>223.85999999999999</v>
      </c>
      <c r="M39" s="76">
        <f t="shared" si="21"/>
        <v>5596.5</v>
      </c>
      <c r="N39" s="103">
        <f t="shared" si="22"/>
        <v>39708.5</v>
      </c>
      <c r="O39" s="144"/>
    </row>
    <row r="40" spans="1:15" s="129" customFormat="1" ht="15" customHeight="1">
      <c r="A40" s="98" t="s">
        <v>96</v>
      </c>
      <c r="B40" s="125" t="s">
        <v>121</v>
      </c>
      <c r="C40" s="126">
        <v>18</v>
      </c>
      <c r="D40" s="126" t="s">
        <v>120</v>
      </c>
      <c r="E40" s="127">
        <v>567</v>
      </c>
      <c r="F40" s="83">
        <f t="shared" si="15"/>
        <v>10206</v>
      </c>
      <c r="G40" s="128">
        <v>85.05</v>
      </c>
      <c r="H40" s="76">
        <f t="shared" si="16"/>
        <v>1530.8999999999999</v>
      </c>
      <c r="I40" s="76">
        <f t="shared" si="17"/>
        <v>11736.9</v>
      </c>
      <c r="J40" s="84">
        <f t="shared" si="18"/>
        <v>725.76</v>
      </c>
      <c r="K40" s="83">
        <f t="shared" si="19"/>
        <v>13063.68</v>
      </c>
      <c r="L40" s="76">
        <f t="shared" si="20"/>
        <v>119.07000000000001</v>
      </c>
      <c r="M40" s="76">
        <f t="shared" si="21"/>
        <v>2143.2600000000002</v>
      </c>
      <c r="N40" s="103">
        <f t="shared" si="22"/>
        <v>15206.94</v>
      </c>
      <c r="O40" s="143"/>
    </row>
    <row r="41" spans="1:15" s="129" customFormat="1" ht="15" customHeight="1">
      <c r="A41" s="98" t="s">
        <v>89</v>
      </c>
      <c r="B41" s="125" t="s">
        <v>122</v>
      </c>
      <c r="C41" s="126">
        <v>3</v>
      </c>
      <c r="D41" s="126" t="s">
        <v>115</v>
      </c>
      <c r="E41" s="127">
        <v>221</v>
      </c>
      <c r="F41" s="83">
        <f t="shared" si="15"/>
        <v>663</v>
      </c>
      <c r="G41" s="128">
        <v>33.15</v>
      </c>
      <c r="H41" s="76">
        <f t="shared" si="16"/>
        <v>99.449999999999989</v>
      </c>
      <c r="I41" s="76">
        <f t="shared" si="17"/>
        <v>762.45</v>
      </c>
      <c r="J41" s="84">
        <f t="shared" si="18"/>
        <v>282.88</v>
      </c>
      <c r="K41" s="83">
        <f t="shared" si="19"/>
        <v>848.64</v>
      </c>
      <c r="L41" s="76">
        <f t="shared" si="20"/>
        <v>46.41</v>
      </c>
      <c r="M41" s="76">
        <f t="shared" si="21"/>
        <v>139.22999999999999</v>
      </c>
      <c r="N41" s="103">
        <f t="shared" si="22"/>
        <v>987.87</v>
      </c>
      <c r="O41" s="143"/>
    </row>
    <row r="42" spans="1:15" s="129" customFormat="1" ht="20.100000000000001" customHeight="1">
      <c r="A42" s="98" t="s">
        <v>97</v>
      </c>
      <c r="B42" s="125" t="s">
        <v>123</v>
      </c>
      <c r="C42" s="126">
        <v>4</v>
      </c>
      <c r="D42" s="126" t="s">
        <v>120</v>
      </c>
      <c r="E42" s="127">
        <v>119</v>
      </c>
      <c r="F42" s="83">
        <f t="shared" si="15"/>
        <v>476</v>
      </c>
      <c r="G42" s="128">
        <v>17.849999999999998</v>
      </c>
      <c r="H42" s="76">
        <f t="shared" si="16"/>
        <v>71.399999999999991</v>
      </c>
      <c r="I42" s="76">
        <f t="shared" si="17"/>
        <v>547.4</v>
      </c>
      <c r="J42" s="84">
        <f t="shared" si="18"/>
        <v>152.32</v>
      </c>
      <c r="K42" s="83">
        <f t="shared" si="19"/>
        <v>609.28</v>
      </c>
      <c r="L42" s="76">
        <f t="shared" si="20"/>
        <v>24.99</v>
      </c>
      <c r="M42" s="76">
        <f t="shared" si="21"/>
        <v>99.96</v>
      </c>
      <c r="N42" s="103">
        <f t="shared" si="22"/>
        <v>709.24</v>
      </c>
      <c r="O42" s="143"/>
    </row>
    <row r="43" spans="1:15" s="129" customFormat="1" ht="20.100000000000001" customHeight="1">
      <c r="A43" s="98" t="s">
        <v>98</v>
      </c>
      <c r="B43" s="125" t="s">
        <v>124</v>
      </c>
      <c r="C43" s="126">
        <v>9</v>
      </c>
      <c r="D43" s="126" t="s">
        <v>120</v>
      </c>
      <c r="E43" s="127">
        <v>69</v>
      </c>
      <c r="F43" s="83">
        <f t="shared" si="15"/>
        <v>621</v>
      </c>
      <c r="G43" s="128">
        <v>10.35</v>
      </c>
      <c r="H43" s="76">
        <f t="shared" si="16"/>
        <v>93.149999999999991</v>
      </c>
      <c r="I43" s="76">
        <f t="shared" si="17"/>
        <v>714.15</v>
      </c>
      <c r="J43" s="84">
        <f t="shared" si="18"/>
        <v>88.320000000000007</v>
      </c>
      <c r="K43" s="83">
        <f t="shared" si="19"/>
        <v>794.88000000000011</v>
      </c>
      <c r="L43" s="76">
        <f t="shared" si="20"/>
        <v>14.49</v>
      </c>
      <c r="M43" s="76">
        <f t="shared" si="21"/>
        <v>130.41</v>
      </c>
      <c r="N43" s="103">
        <f t="shared" si="22"/>
        <v>925.29000000000008</v>
      </c>
      <c r="O43" s="143"/>
    </row>
    <row r="44" spans="1:15" s="129" customFormat="1" ht="20.100000000000001" customHeight="1">
      <c r="A44" s="98" t="s">
        <v>99</v>
      </c>
      <c r="B44" s="125" t="s">
        <v>125</v>
      </c>
      <c r="C44" s="126">
        <v>4</v>
      </c>
      <c r="D44" s="126" t="s">
        <v>120</v>
      </c>
      <c r="E44" s="127">
        <v>35</v>
      </c>
      <c r="F44" s="83">
        <f t="shared" si="15"/>
        <v>140</v>
      </c>
      <c r="G44" s="128">
        <v>5.25</v>
      </c>
      <c r="H44" s="76">
        <f t="shared" si="16"/>
        <v>21</v>
      </c>
      <c r="I44" s="76">
        <f t="shared" si="17"/>
        <v>161</v>
      </c>
      <c r="J44" s="84">
        <f t="shared" si="18"/>
        <v>44.8</v>
      </c>
      <c r="K44" s="83">
        <f t="shared" si="19"/>
        <v>179.2</v>
      </c>
      <c r="L44" s="76">
        <f t="shared" si="20"/>
        <v>7.35</v>
      </c>
      <c r="M44" s="76">
        <f t="shared" si="21"/>
        <v>29.4</v>
      </c>
      <c r="N44" s="103">
        <f t="shared" si="22"/>
        <v>208.6</v>
      </c>
      <c r="O44" s="143"/>
    </row>
    <row r="45" spans="1:15" s="129" customFormat="1" ht="20.100000000000001" customHeight="1">
      <c r="A45" s="98" t="s">
        <v>100</v>
      </c>
      <c r="B45" s="125" t="s">
        <v>126</v>
      </c>
      <c r="C45" s="126">
        <v>1</v>
      </c>
      <c r="D45" s="126" t="s">
        <v>13</v>
      </c>
      <c r="E45" s="127">
        <v>12000</v>
      </c>
      <c r="F45" s="83">
        <f t="shared" si="15"/>
        <v>12000</v>
      </c>
      <c r="G45" s="128">
        <v>1800</v>
      </c>
      <c r="H45" s="76">
        <f t="shared" si="16"/>
        <v>1800</v>
      </c>
      <c r="I45" s="76">
        <f t="shared" si="17"/>
        <v>13800</v>
      </c>
      <c r="J45" s="84">
        <f t="shared" si="18"/>
        <v>15360</v>
      </c>
      <c r="K45" s="83">
        <f t="shared" si="19"/>
        <v>15360</v>
      </c>
      <c r="L45" s="76">
        <f t="shared" si="20"/>
        <v>2520</v>
      </c>
      <c r="M45" s="76">
        <f t="shared" si="21"/>
        <v>2520</v>
      </c>
      <c r="N45" s="103">
        <f t="shared" si="22"/>
        <v>17880</v>
      </c>
      <c r="O45" s="143"/>
    </row>
    <row r="46" spans="1:15" s="133" customFormat="1" ht="20.100000000000001" customHeight="1">
      <c r="A46" s="113"/>
      <c r="B46" s="131" t="s">
        <v>127</v>
      </c>
      <c r="C46" s="132"/>
      <c r="D46" s="132"/>
      <c r="E46" s="137"/>
      <c r="F46" s="117">
        <f t="shared" si="15"/>
        <v>0</v>
      </c>
      <c r="G46" s="136"/>
      <c r="H46" s="118">
        <f t="shared" si="16"/>
        <v>0</v>
      </c>
      <c r="I46" s="118">
        <f t="shared" si="17"/>
        <v>0</v>
      </c>
      <c r="J46" s="84">
        <f t="shared" si="18"/>
        <v>0</v>
      </c>
      <c r="K46" s="83">
        <f t="shared" si="19"/>
        <v>0</v>
      </c>
      <c r="L46" s="76">
        <f t="shared" si="20"/>
        <v>0</v>
      </c>
      <c r="M46" s="76">
        <f t="shared" si="21"/>
        <v>0</v>
      </c>
      <c r="N46" s="103">
        <f t="shared" si="22"/>
        <v>0</v>
      </c>
      <c r="O46" s="145"/>
    </row>
    <row r="47" spans="1:15" s="129" customFormat="1" ht="20.100000000000001" customHeight="1">
      <c r="A47" s="98" t="s">
        <v>88</v>
      </c>
      <c r="B47" s="125" t="s">
        <v>128</v>
      </c>
      <c r="C47" s="126">
        <v>1</v>
      </c>
      <c r="D47" s="126" t="s">
        <v>113</v>
      </c>
      <c r="E47" s="127">
        <v>9500</v>
      </c>
      <c r="F47" s="83">
        <f t="shared" si="15"/>
        <v>9500</v>
      </c>
      <c r="G47" s="128">
        <v>1425</v>
      </c>
      <c r="H47" s="76">
        <f t="shared" si="16"/>
        <v>1425</v>
      </c>
      <c r="I47" s="76">
        <f t="shared" si="17"/>
        <v>10925</v>
      </c>
      <c r="J47" s="84">
        <f t="shared" si="18"/>
        <v>12160</v>
      </c>
      <c r="K47" s="83">
        <f t="shared" si="19"/>
        <v>12160</v>
      </c>
      <c r="L47" s="76">
        <f t="shared" si="20"/>
        <v>1995</v>
      </c>
      <c r="M47" s="76">
        <f t="shared" si="21"/>
        <v>1995</v>
      </c>
      <c r="N47" s="103">
        <f t="shared" si="22"/>
        <v>14155</v>
      </c>
      <c r="O47" s="143"/>
    </row>
    <row r="48" spans="1:15" s="129" customFormat="1" ht="20.100000000000001" customHeight="1">
      <c r="A48" s="98" t="s">
        <v>144</v>
      </c>
      <c r="B48" s="125" t="s">
        <v>129</v>
      </c>
      <c r="C48" s="126">
        <v>285</v>
      </c>
      <c r="D48" s="126" t="s">
        <v>115</v>
      </c>
      <c r="E48" s="127">
        <v>51</v>
      </c>
      <c r="F48" s="83">
        <f t="shared" si="15"/>
        <v>14535</v>
      </c>
      <c r="G48" s="128">
        <v>7.6499999999999995</v>
      </c>
      <c r="H48" s="76">
        <f t="shared" si="16"/>
        <v>2180.25</v>
      </c>
      <c r="I48" s="76">
        <f t="shared" si="17"/>
        <v>16715.25</v>
      </c>
      <c r="J48" s="84">
        <f t="shared" si="18"/>
        <v>65.28</v>
      </c>
      <c r="K48" s="83">
        <f t="shared" si="19"/>
        <v>18604.8</v>
      </c>
      <c r="L48" s="76">
        <f t="shared" si="20"/>
        <v>10.709999999999999</v>
      </c>
      <c r="M48" s="76">
        <f t="shared" si="21"/>
        <v>3052.35</v>
      </c>
      <c r="N48" s="103">
        <f t="shared" si="22"/>
        <v>21657.149999999998</v>
      </c>
      <c r="O48" s="143"/>
    </row>
    <row r="49" spans="1:15" s="129" customFormat="1" ht="20.100000000000001" customHeight="1">
      <c r="A49" s="98" t="s">
        <v>93</v>
      </c>
      <c r="B49" s="125" t="s">
        <v>130</v>
      </c>
      <c r="C49" s="126">
        <v>95</v>
      </c>
      <c r="D49" s="126" t="s">
        <v>115</v>
      </c>
      <c r="E49" s="127">
        <v>33</v>
      </c>
      <c r="F49" s="83">
        <f t="shared" si="15"/>
        <v>3135</v>
      </c>
      <c r="G49" s="128">
        <v>4.95</v>
      </c>
      <c r="H49" s="76">
        <f t="shared" si="16"/>
        <v>470.25</v>
      </c>
      <c r="I49" s="76">
        <f t="shared" si="17"/>
        <v>3605.25</v>
      </c>
      <c r="J49" s="84">
        <f t="shared" si="18"/>
        <v>42.24</v>
      </c>
      <c r="K49" s="83">
        <f t="shared" si="19"/>
        <v>4012.8</v>
      </c>
      <c r="L49" s="76">
        <f t="shared" si="20"/>
        <v>6.93</v>
      </c>
      <c r="M49" s="76">
        <f t="shared" si="21"/>
        <v>658.35</v>
      </c>
      <c r="N49" s="103">
        <f t="shared" si="22"/>
        <v>4671.1500000000005</v>
      </c>
      <c r="O49" s="143"/>
    </row>
    <row r="50" spans="1:15" s="129" customFormat="1" ht="20.100000000000001" customHeight="1">
      <c r="A50" s="98" t="s">
        <v>94</v>
      </c>
      <c r="B50" s="125" t="s">
        <v>117</v>
      </c>
      <c r="C50" s="126">
        <v>1</v>
      </c>
      <c r="D50" s="126" t="s">
        <v>118</v>
      </c>
      <c r="E50" s="127">
        <v>4950</v>
      </c>
      <c r="F50" s="83">
        <f t="shared" si="15"/>
        <v>4950</v>
      </c>
      <c r="G50" s="128">
        <v>742.5</v>
      </c>
      <c r="H50" s="76">
        <f t="shared" si="16"/>
        <v>742.5</v>
      </c>
      <c r="I50" s="76">
        <f t="shared" si="17"/>
        <v>5692.5</v>
      </c>
      <c r="J50" s="84">
        <f t="shared" si="18"/>
        <v>6336</v>
      </c>
      <c r="K50" s="83">
        <f t="shared" si="19"/>
        <v>6336</v>
      </c>
      <c r="L50" s="76">
        <f t="shared" si="20"/>
        <v>1039.5</v>
      </c>
      <c r="M50" s="76">
        <f t="shared" si="21"/>
        <v>1039.5</v>
      </c>
      <c r="N50" s="103">
        <f t="shared" si="22"/>
        <v>7375.5</v>
      </c>
      <c r="O50" s="143"/>
    </row>
    <row r="51" spans="1:15" s="129" customFormat="1" ht="20.100000000000001" customHeight="1">
      <c r="A51" s="122" t="s">
        <v>95</v>
      </c>
      <c r="B51" s="125" t="s">
        <v>121</v>
      </c>
      <c r="C51" s="126">
        <v>47</v>
      </c>
      <c r="D51" s="126" t="s">
        <v>120</v>
      </c>
      <c r="E51" s="127">
        <v>567</v>
      </c>
      <c r="F51" s="83">
        <f t="shared" si="15"/>
        <v>26649</v>
      </c>
      <c r="G51" s="128">
        <v>85.05</v>
      </c>
      <c r="H51" s="76">
        <f t="shared" si="16"/>
        <v>3997.35</v>
      </c>
      <c r="I51" s="76">
        <f t="shared" si="17"/>
        <v>30646.35</v>
      </c>
      <c r="J51" s="84">
        <f t="shared" si="18"/>
        <v>725.76</v>
      </c>
      <c r="K51" s="83">
        <f t="shared" si="19"/>
        <v>34110.720000000001</v>
      </c>
      <c r="L51" s="76">
        <f t="shared" si="20"/>
        <v>119.07000000000001</v>
      </c>
      <c r="M51" s="76">
        <f t="shared" si="21"/>
        <v>5596.29</v>
      </c>
      <c r="N51" s="103">
        <f t="shared" si="22"/>
        <v>39707.01</v>
      </c>
      <c r="O51" s="143"/>
    </row>
    <row r="52" spans="1:15" s="129" customFormat="1" ht="20.100000000000001" customHeight="1">
      <c r="A52" s="98" t="s">
        <v>96</v>
      </c>
      <c r="B52" s="125" t="s">
        <v>131</v>
      </c>
      <c r="C52" s="126">
        <v>3</v>
      </c>
      <c r="D52" s="126" t="s">
        <v>115</v>
      </c>
      <c r="E52" s="127">
        <v>76</v>
      </c>
      <c r="F52" s="83">
        <f t="shared" si="15"/>
        <v>228</v>
      </c>
      <c r="G52" s="128">
        <v>11.4</v>
      </c>
      <c r="H52" s="76">
        <f t="shared" si="16"/>
        <v>34.200000000000003</v>
      </c>
      <c r="I52" s="76">
        <f t="shared" si="17"/>
        <v>262.2</v>
      </c>
      <c r="J52" s="84">
        <f t="shared" si="18"/>
        <v>97.28</v>
      </c>
      <c r="K52" s="83">
        <f t="shared" si="19"/>
        <v>291.84000000000003</v>
      </c>
      <c r="L52" s="76">
        <f t="shared" si="20"/>
        <v>15.959999999999999</v>
      </c>
      <c r="M52" s="76">
        <f t="shared" si="21"/>
        <v>47.879999999999995</v>
      </c>
      <c r="N52" s="103">
        <f t="shared" si="22"/>
        <v>339.72</v>
      </c>
      <c r="O52" s="143"/>
    </row>
    <row r="53" spans="1:15" s="129" customFormat="1" ht="20.100000000000001" customHeight="1">
      <c r="A53" s="98" t="s">
        <v>89</v>
      </c>
      <c r="B53" s="125" t="s">
        <v>132</v>
      </c>
      <c r="C53" s="126">
        <v>4</v>
      </c>
      <c r="D53" s="126" t="s">
        <v>120</v>
      </c>
      <c r="E53" s="127">
        <v>64</v>
      </c>
      <c r="F53" s="83">
        <f t="shared" si="15"/>
        <v>256</v>
      </c>
      <c r="G53" s="128">
        <v>9.6</v>
      </c>
      <c r="H53" s="76">
        <f t="shared" si="16"/>
        <v>38.4</v>
      </c>
      <c r="I53" s="76">
        <f t="shared" si="17"/>
        <v>294.39999999999998</v>
      </c>
      <c r="J53" s="84">
        <f t="shared" si="18"/>
        <v>81.92</v>
      </c>
      <c r="K53" s="83">
        <f t="shared" si="19"/>
        <v>327.68</v>
      </c>
      <c r="L53" s="76">
        <f t="shared" si="20"/>
        <v>13.440000000000001</v>
      </c>
      <c r="M53" s="76">
        <f t="shared" si="21"/>
        <v>53.760000000000005</v>
      </c>
      <c r="N53" s="103">
        <f t="shared" si="22"/>
        <v>381.44</v>
      </c>
      <c r="O53" s="143"/>
    </row>
    <row r="54" spans="1:15" s="129" customFormat="1" ht="20.100000000000001" customHeight="1">
      <c r="A54" s="98" t="s">
        <v>97</v>
      </c>
      <c r="B54" s="125" t="s">
        <v>126</v>
      </c>
      <c r="C54" s="126">
        <v>1</v>
      </c>
      <c r="D54" s="126" t="s">
        <v>13</v>
      </c>
      <c r="E54" s="127">
        <v>10000</v>
      </c>
      <c r="F54" s="83">
        <f t="shared" si="15"/>
        <v>10000</v>
      </c>
      <c r="G54" s="128">
        <v>1500</v>
      </c>
      <c r="H54" s="76">
        <f t="shared" si="16"/>
        <v>1500</v>
      </c>
      <c r="I54" s="76">
        <f t="shared" si="17"/>
        <v>11500</v>
      </c>
      <c r="J54" s="84">
        <f t="shared" si="18"/>
        <v>12800</v>
      </c>
      <c r="K54" s="83">
        <f t="shared" si="19"/>
        <v>12800</v>
      </c>
      <c r="L54" s="76">
        <f t="shared" si="20"/>
        <v>2100</v>
      </c>
      <c r="M54" s="76">
        <f t="shared" si="21"/>
        <v>2100</v>
      </c>
      <c r="N54" s="103">
        <f t="shared" si="22"/>
        <v>14900</v>
      </c>
      <c r="O54" s="143"/>
    </row>
    <row r="55" spans="1:15" s="133" customFormat="1" ht="20.100000000000001" customHeight="1">
      <c r="A55" s="113"/>
      <c r="B55" s="131" t="s">
        <v>133</v>
      </c>
      <c r="C55" s="134"/>
      <c r="D55" s="134"/>
      <c r="E55" s="135"/>
      <c r="F55" s="117">
        <f t="shared" si="15"/>
        <v>0</v>
      </c>
      <c r="G55" s="136"/>
      <c r="H55" s="118">
        <f t="shared" si="16"/>
        <v>0</v>
      </c>
      <c r="I55" s="118">
        <f t="shared" si="17"/>
        <v>0</v>
      </c>
      <c r="J55" s="84">
        <f t="shared" si="18"/>
        <v>0</v>
      </c>
      <c r="K55" s="83">
        <f t="shared" si="19"/>
        <v>0</v>
      </c>
      <c r="L55" s="76">
        <f t="shared" si="20"/>
        <v>0</v>
      </c>
      <c r="M55" s="76">
        <f t="shared" si="21"/>
        <v>0</v>
      </c>
      <c r="N55" s="103">
        <f t="shared" si="22"/>
        <v>0</v>
      </c>
      <c r="O55" s="145"/>
    </row>
    <row r="56" spans="1:15" s="129" customFormat="1" ht="20.100000000000001" customHeight="1">
      <c r="A56" s="98" t="s">
        <v>88</v>
      </c>
      <c r="B56" s="125" t="s">
        <v>134</v>
      </c>
      <c r="C56" s="126">
        <v>1</v>
      </c>
      <c r="D56" s="126" t="s">
        <v>113</v>
      </c>
      <c r="E56" s="127">
        <v>16500</v>
      </c>
      <c r="F56" s="83">
        <f t="shared" si="15"/>
        <v>16500</v>
      </c>
      <c r="G56" s="128">
        <v>2475</v>
      </c>
      <c r="H56" s="76">
        <f t="shared" si="16"/>
        <v>2475</v>
      </c>
      <c r="I56" s="76">
        <f t="shared" si="17"/>
        <v>18975</v>
      </c>
      <c r="J56" s="84">
        <f t="shared" si="18"/>
        <v>21120</v>
      </c>
      <c r="K56" s="83">
        <f t="shared" si="19"/>
        <v>21120</v>
      </c>
      <c r="L56" s="76">
        <f t="shared" si="20"/>
        <v>3465</v>
      </c>
      <c r="M56" s="76">
        <f t="shared" si="21"/>
        <v>3465</v>
      </c>
      <c r="N56" s="103">
        <f t="shared" si="22"/>
        <v>24585</v>
      </c>
      <c r="O56" s="143"/>
    </row>
    <row r="57" spans="1:15" s="129" customFormat="1" ht="20.100000000000001" customHeight="1">
      <c r="A57" s="98" t="s">
        <v>144</v>
      </c>
      <c r="B57" s="125" t="s">
        <v>135</v>
      </c>
      <c r="C57" s="126">
        <v>125</v>
      </c>
      <c r="D57" s="126" t="s">
        <v>115</v>
      </c>
      <c r="E57" s="127">
        <v>180</v>
      </c>
      <c r="F57" s="83">
        <f t="shared" si="15"/>
        <v>22500</v>
      </c>
      <c r="G57" s="128">
        <v>27</v>
      </c>
      <c r="H57" s="76">
        <f t="shared" si="16"/>
        <v>3375</v>
      </c>
      <c r="I57" s="76">
        <f t="shared" si="17"/>
        <v>25875</v>
      </c>
      <c r="J57" s="84">
        <f t="shared" si="18"/>
        <v>230.4</v>
      </c>
      <c r="K57" s="83">
        <f t="shared" si="19"/>
        <v>28800</v>
      </c>
      <c r="L57" s="76">
        <f t="shared" si="20"/>
        <v>37.799999999999997</v>
      </c>
      <c r="M57" s="76">
        <f t="shared" si="21"/>
        <v>4725</v>
      </c>
      <c r="N57" s="103">
        <f t="shared" si="22"/>
        <v>33525</v>
      </c>
      <c r="O57" s="143"/>
    </row>
    <row r="58" spans="1:15" s="129" customFormat="1" ht="20.100000000000001" customHeight="1">
      <c r="A58" s="98" t="s">
        <v>93</v>
      </c>
      <c r="B58" s="125" t="s">
        <v>116</v>
      </c>
      <c r="C58" s="126">
        <v>70</v>
      </c>
      <c r="D58" s="126" t="s">
        <v>115</v>
      </c>
      <c r="E58" s="127">
        <v>68</v>
      </c>
      <c r="F58" s="83">
        <f t="shared" si="15"/>
        <v>4760</v>
      </c>
      <c r="G58" s="128">
        <v>10.199999999999999</v>
      </c>
      <c r="H58" s="76">
        <f t="shared" si="16"/>
        <v>714</v>
      </c>
      <c r="I58" s="76">
        <f t="shared" si="17"/>
        <v>5474</v>
      </c>
      <c r="J58" s="84">
        <f t="shared" si="18"/>
        <v>87.04</v>
      </c>
      <c r="K58" s="83">
        <f t="shared" si="19"/>
        <v>6092.8</v>
      </c>
      <c r="L58" s="76">
        <f t="shared" si="20"/>
        <v>14.279999999999998</v>
      </c>
      <c r="M58" s="76">
        <f t="shared" si="21"/>
        <v>999.5999999999998</v>
      </c>
      <c r="N58" s="103">
        <f t="shared" si="22"/>
        <v>7092.4</v>
      </c>
      <c r="O58" s="143"/>
    </row>
    <row r="59" spans="1:15" s="129" customFormat="1" ht="20.100000000000001" customHeight="1">
      <c r="A59" s="98" t="s">
        <v>94</v>
      </c>
      <c r="B59" s="125" t="s">
        <v>117</v>
      </c>
      <c r="C59" s="126">
        <v>1</v>
      </c>
      <c r="D59" s="126" t="s">
        <v>118</v>
      </c>
      <c r="E59" s="127">
        <v>4950</v>
      </c>
      <c r="F59" s="83">
        <f t="shared" si="15"/>
        <v>4950</v>
      </c>
      <c r="G59" s="128">
        <v>742.5</v>
      </c>
      <c r="H59" s="76">
        <f t="shared" si="16"/>
        <v>742.5</v>
      </c>
      <c r="I59" s="76">
        <f t="shared" si="17"/>
        <v>5692.5</v>
      </c>
      <c r="J59" s="84">
        <f t="shared" si="18"/>
        <v>6336</v>
      </c>
      <c r="K59" s="83">
        <f t="shared" si="19"/>
        <v>6336</v>
      </c>
      <c r="L59" s="76">
        <f t="shared" si="20"/>
        <v>1039.5</v>
      </c>
      <c r="M59" s="76">
        <f t="shared" si="21"/>
        <v>1039.5</v>
      </c>
      <c r="N59" s="103">
        <f t="shared" si="22"/>
        <v>7375.5</v>
      </c>
      <c r="O59" s="143"/>
    </row>
    <row r="60" spans="1:15" s="129" customFormat="1" ht="20.100000000000001" customHeight="1">
      <c r="A60" s="122" t="s">
        <v>95</v>
      </c>
      <c r="B60" s="125" t="s">
        <v>119</v>
      </c>
      <c r="C60" s="126">
        <v>23</v>
      </c>
      <c r="D60" s="126" t="s">
        <v>120</v>
      </c>
      <c r="E60" s="127">
        <v>1066</v>
      </c>
      <c r="F60" s="83">
        <f t="shared" si="15"/>
        <v>24518</v>
      </c>
      <c r="G60" s="128">
        <v>159.9</v>
      </c>
      <c r="H60" s="76">
        <f t="shared" si="16"/>
        <v>3677.7000000000003</v>
      </c>
      <c r="I60" s="76">
        <f t="shared" si="17"/>
        <v>28195.7</v>
      </c>
      <c r="J60" s="84">
        <f t="shared" si="18"/>
        <v>1364.48</v>
      </c>
      <c r="K60" s="83">
        <f t="shared" si="19"/>
        <v>31383.040000000001</v>
      </c>
      <c r="L60" s="76">
        <f t="shared" si="20"/>
        <v>223.85999999999999</v>
      </c>
      <c r="M60" s="76">
        <f t="shared" si="21"/>
        <v>5148.78</v>
      </c>
      <c r="N60" s="103">
        <f t="shared" si="22"/>
        <v>36531.82</v>
      </c>
      <c r="O60" s="143"/>
    </row>
    <row r="61" spans="1:15" s="129" customFormat="1" ht="20.100000000000001" customHeight="1">
      <c r="A61" s="98" t="s">
        <v>96</v>
      </c>
      <c r="B61" s="125" t="s">
        <v>121</v>
      </c>
      <c r="C61" s="126">
        <v>18</v>
      </c>
      <c r="D61" s="126" t="s">
        <v>120</v>
      </c>
      <c r="E61" s="127">
        <v>567</v>
      </c>
      <c r="F61" s="83">
        <f t="shared" si="15"/>
        <v>10206</v>
      </c>
      <c r="G61" s="128">
        <v>85.05</v>
      </c>
      <c r="H61" s="76">
        <f t="shared" si="16"/>
        <v>1530.8999999999999</v>
      </c>
      <c r="I61" s="76">
        <f t="shared" si="17"/>
        <v>11736.9</v>
      </c>
      <c r="J61" s="84">
        <f t="shared" si="18"/>
        <v>725.76</v>
      </c>
      <c r="K61" s="83">
        <f t="shared" si="19"/>
        <v>13063.68</v>
      </c>
      <c r="L61" s="76">
        <f t="shared" si="20"/>
        <v>119.07000000000001</v>
      </c>
      <c r="M61" s="76">
        <f t="shared" si="21"/>
        <v>2143.2600000000002</v>
      </c>
      <c r="N61" s="103">
        <f t="shared" si="22"/>
        <v>15206.94</v>
      </c>
      <c r="O61" s="143"/>
    </row>
    <row r="62" spans="1:15" s="129" customFormat="1" ht="20.100000000000001" customHeight="1">
      <c r="A62" s="98" t="s">
        <v>89</v>
      </c>
      <c r="B62" s="125" t="s">
        <v>122</v>
      </c>
      <c r="C62" s="126">
        <v>3</v>
      </c>
      <c r="D62" s="126" t="s">
        <v>115</v>
      </c>
      <c r="E62" s="127">
        <v>221</v>
      </c>
      <c r="F62" s="83">
        <f t="shared" si="15"/>
        <v>663</v>
      </c>
      <c r="G62" s="128">
        <v>33.15</v>
      </c>
      <c r="H62" s="76">
        <f t="shared" si="16"/>
        <v>99.449999999999989</v>
      </c>
      <c r="I62" s="76">
        <f t="shared" si="17"/>
        <v>762.45</v>
      </c>
      <c r="J62" s="84">
        <f t="shared" si="18"/>
        <v>282.88</v>
      </c>
      <c r="K62" s="83">
        <f t="shared" si="19"/>
        <v>848.64</v>
      </c>
      <c r="L62" s="76">
        <f t="shared" si="20"/>
        <v>46.41</v>
      </c>
      <c r="M62" s="76">
        <f t="shared" si="21"/>
        <v>139.22999999999999</v>
      </c>
      <c r="N62" s="103">
        <f t="shared" si="22"/>
        <v>987.87</v>
      </c>
      <c r="O62" s="143"/>
    </row>
    <row r="63" spans="1:15" s="129" customFormat="1" ht="20.100000000000001" customHeight="1">
      <c r="A63" s="98" t="s">
        <v>97</v>
      </c>
      <c r="B63" s="125" t="s">
        <v>123</v>
      </c>
      <c r="C63" s="126">
        <v>4</v>
      </c>
      <c r="D63" s="126" t="s">
        <v>120</v>
      </c>
      <c r="E63" s="127">
        <v>119</v>
      </c>
      <c r="F63" s="83">
        <f t="shared" si="15"/>
        <v>476</v>
      </c>
      <c r="G63" s="128">
        <v>17.849999999999998</v>
      </c>
      <c r="H63" s="76">
        <f t="shared" si="16"/>
        <v>71.399999999999991</v>
      </c>
      <c r="I63" s="76">
        <f t="shared" si="17"/>
        <v>547.4</v>
      </c>
      <c r="J63" s="84">
        <f t="shared" si="18"/>
        <v>152.32</v>
      </c>
      <c r="K63" s="83">
        <f t="shared" si="19"/>
        <v>609.28</v>
      </c>
      <c r="L63" s="76">
        <f t="shared" si="20"/>
        <v>24.99</v>
      </c>
      <c r="M63" s="76">
        <f t="shared" si="21"/>
        <v>99.96</v>
      </c>
      <c r="N63" s="103">
        <f t="shared" si="22"/>
        <v>709.24</v>
      </c>
      <c r="O63" s="143"/>
    </row>
    <row r="64" spans="1:15" s="129" customFormat="1" ht="20.100000000000001" customHeight="1">
      <c r="A64" s="98" t="s">
        <v>98</v>
      </c>
      <c r="B64" s="125" t="s">
        <v>136</v>
      </c>
      <c r="C64" s="126">
        <v>9</v>
      </c>
      <c r="D64" s="126" t="s">
        <v>120</v>
      </c>
      <c r="E64" s="127">
        <v>95</v>
      </c>
      <c r="F64" s="83">
        <f t="shared" si="15"/>
        <v>855</v>
      </c>
      <c r="G64" s="128">
        <v>14.25</v>
      </c>
      <c r="H64" s="76">
        <f t="shared" si="16"/>
        <v>128.25</v>
      </c>
      <c r="I64" s="76">
        <f t="shared" si="17"/>
        <v>983.25</v>
      </c>
      <c r="J64" s="84">
        <f t="shared" si="18"/>
        <v>121.6</v>
      </c>
      <c r="K64" s="83">
        <f t="shared" si="19"/>
        <v>1094.3999999999999</v>
      </c>
      <c r="L64" s="76">
        <f t="shared" si="20"/>
        <v>19.95</v>
      </c>
      <c r="M64" s="76">
        <f t="shared" si="21"/>
        <v>179.54999999999998</v>
      </c>
      <c r="N64" s="103">
        <f t="shared" si="22"/>
        <v>1273.9499999999998</v>
      </c>
      <c r="O64" s="143"/>
    </row>
    <row r="65" spans="1:15" s="129" customFormat="1" ht="20.100000000000001" customHeight="1">
      <c r="A65" s="98" t="s">
        <v>99</v>
      </c>
      <c r="B65" s="125" t="s">
        <v>125</v>
      </c>
      <c r="C65" s="126">
        <v>4</v>
      </c>
      <c r="D65" s="126" t="s">
        <v>120</v>
      </c>
      <c r="E65" s="127">
        <v>35</v>
      </c>
      <c r="F65" s="83">
        <f t="shared" si="15"/>
        <v>140</v>
      </c>
      <c r="G65" s="128">
        <v>5.25</v>
      </c>
      <c r="H65" s="76">
        <f t="shared" si="16"/>
        <v>21</v>
      </c>
      <c r="I65" s="76">
        <f t="shared" si="17"/>
        <v>161</v>
      </c>
      <c r="J65" s="84">
        <f t="shared" si="18"/>
        <v>44.8</v>
      </c>
      <c r="K65" s="83">
        <f t="shared" si="19"/>
        <v>179.2</v>
      </c>
      <c r="L65" s="76">
        <f t="shared" si="20"/>
        <v>7.35</v>
      </c>
      <c r="M65" s="76">
        <f t="shared" si="21"/>
        <v>29.4</v>
      </c>
      <c r="N65" s="103">
        <f t="shared" si="22"/>
        <v>208.6</v>
      </c>
      <c r="O65" s="143"/>
    </row>
    <row r="66" spans="1:15" s="129" customFormat="1" ht="20.100000000000001" customHeight="1">
      <c r="A66" s="98" t="s">
        <v>100</v>
      </c>
      <c r="B66" s="125" t="s">
        <v>126</v>
      </c>
      <c r="C66" s="126">
        <v>1</v>
      </c>
      <c r="D66" s="126" t="s">
        <v>13</v>
      </c>
      <c r="E66" s="127">
        <v>15000</v>
      </c>
      <c r="F66" s="83">
        <f t="shared" si="15"/>
        <v>15000</v>
      </c>
      <c r="G66" s="128">
        <v>2250</v>
      </c>
      <c r="H66" s="76">
        <f t="shared" si="16"/>
        <v>2250</v>
      </c>
      <c r="I66" s="76">
        <f t="shared" si="17"/>
        <v>17250</v>
      </c>
      <c r="J66" s="84">
        <f t="shared" si="18"/>
        <v>19200</v>
      </c>
      <c r="K66" s="83">
        <f t="shared" si="19"/>
        <v>19200</v>
      </c>
      <c r="L66" s="76">
        <f t="shared" si="20"/>
        <v>3150</v>
      </c>
      <c r="M66" s="76">
        <f t="shared" si="21"/>
        <v>3150</v>
      </c>
      <c r="N66" s="103">
        <f t="shared" si="22"/>
        <v>22350</v>
      </c>
      <c r="O66" s="143"/>
    </row>
    <row r="67" spans="1:15" s="133" customFormat="1" ht="20.100000000000001" customHeight="1">
      <c r="A67" s="113"/>
      <c r="B67" s="131" t="s">
        <v>137</v>
      </c>
      <c r="C67" s="134"/>
      <c r="D67" s="134"/>
      <c r="E67" s="135"/>
      <c r="F67" s="117">
        <f t="shared" si="15"/>
        <v>0</v>
      </c>
      <c r="G67" s="136"/>
      <c r="H67" s="118">
        <f t="shared" si="16"/>
        <v>0</v>
      </c>
      <c r="I67" s="118">
        <f t="shared" si="17"/>
        <v>0</v>
      </c>
      <c r="J67" s="84">
        <f t="shared" si="18"/>
        <v>0</v>
      </c>
      <c r="K67" s="83">
        <f t="shared" si="19"/>
        <v>0</v>
      </c>
      <c r="L67" s="76">
        <f t="shared" si="20"/>
        <v>0</v>
      </c>
      <c r="M67" s="76">
        <f t="shared" si="21"/>
        <v>0</v>
      </c>
      <c r="N67" s="103">
        <f t="shared" si="22"/>
        <v>0</v>
      </c>
      <c r="O67" s="145"/>
    </row>
    <row r="68" spans="1:15" s="129" customFormat="1" ht="20.100000000000001" customHeight="1">
      <c r="A68" s="98" t="s">
        <v>88</v>
      </c>
      <c r="B68" s="125" t="s">
        <v>128</v>
      </c>
      <c r="C68" s="126">
        <v>1</v>
      </c>
      <c r="D68" s="126" t="s">
        <v>113</v>
      </c>
      <c r="E68" s="127">
        <v>9500</v>
      </c>
      <c r="F68" s="83">
        <f t="shared" si="15"/>
        <v>9500</v>
      </c>
      <c r="G68" s="128">
        <v>1425</v>
      </c>
      <c r="H68" s="76">
        <f t="shared" si="16"/>
        <v>1425</v>
      </c>
      <c r="I68" s="76">
        <f t="shared" si="17"/>
        <v>10925</v>
      </c>
      <c r="J68" s="84">
        <f t="shared" si="18"/>
        <v>12160</v>
      </c>
      <c r="K68" s="83">
        <f t="shared" si="19"/>
        <v>12160</v>
      </c>
      <c r="L68" s="76">
        <f t="shared" si="20"/>
        <v>1995</v>
      </c>
      <c r="M68" s="76">
        <f t="shared" si="21"/>
        <v>1995</v>
      </c>
      <c r="N68" s="103">
        <f t="shared" si="22"/>
        <v>14155</v>
      </c>
      <c r="O68" s="143"/>
    </row>
    <row r="69" spans="1:15" s="129" customFormat="1" ht="20.100000000000001" customHeight="1">
      <c r="A69" s="98" t="s">
        <v>144</v>
      </c>
      <c r="B69" s="125" t="s">
        <v>129</v>
      </c>
      <c r="C69" s="126">
        <v>200</v>
      </c>
      <c r="D69" s="126" t="s">
        <v>115</v>
      </c>
      <c r="E69" s="127">
        <v>51</v>
      </c>
      <c r="F69" s="83">
        <f t="shared" si="15"/>
        <v>10200</v>
      </c>
      <c r="G69" s="128">
        <v>7.6499999999999995</v>
      </c>
      <c r="H69" s="76">
        <f t="shared" si="16"/>
        <v>1530</v>
      </c>
      <c r="I69" s="76">
        <f t="shared" si="17"/>
        <v>11730</v>
      </c>
      <c r="J69" s="84">
        <f t="shared" si="18"/>
        <v>65.28</v>
      </c>
      <c r="K69" s="83">
        <f t="shared" si="19"/>
        <v>13056</v>
      </c>
      <c r="L69" s="76">
        <f t="shared" si="20"/>
        <v>10.709999999999999</v>
      </c>
      <c r="M69" s="76">
        <f t="shared" si="21"/>
        <v>2142</v>
      </c>
      <c r="N69" s="103">
        <f t="shared" si="22"/>
        <v>15198</v>
      </c>
      <c r="O69" s="143"/>
    </row>
    <row r="70" spans="1:15" s="129" customFormat="1" ht="20.100000000000001" customHeight="1">
      <c r="A70" s="98" t="s">
        <v>93</v>
      </c>
      <c r="B70" s="125" t="s">
        <v>130</v>
      </c>
      <c r="C70" s="126">
        <v>95</v>
      </c>
      <c r="D70" s="126" t="s">
        <v>115</v>
      </c>
      <c r="E70" s="127">
        <v>33</v>
      </c>
      <c r="F70" s="83">
        <f t="shared" si="15"/>
        <v>3135</v>
      </c>
      <c r="G70" s="128">
        <v>4.95</v>
      </c>
      <c r="H70" s="76">
        <f t="shared" si="16"/>
        <v>470.25</v>
      </c>
      <c r="I70" s="76">
        <f t="shared" si="17"/>
        <v>3605.25</v>
      </c>
      <c r="J70" s="84">
        <f t="shared" si="18"/>
        <v>42.24</v>
      </c>
      <c r="K70" s="83">
        <f t="shared" si="19"/>
        <v>4012.8</v>
      </c>
      <c r="L70" s="76">
        <f t="shared" si="20"/>
        <v>6.93</v>
      </c>
      <c r="M70" s="76">
        <f t="shared" si="21"/>
        <v>658.35</v>
      </c>
      <c r="N70" s="103">
        <f t="shared" si="22"/>
        <v>4671.1500000000005</v>
      </c>
      <c r="O70" s="143"/>
    </row>
    <row r="71" spans="1:15" s="129" customFormat="1" ht="20.100000000000001" customHeight="1">
      <c r="A71" s="98" t="s">
        <v>94</v>
      </c>
      <c r="B71" s="125" t="s">
        <v>117</v>
      </c>
      <c r="C71" s="126">
        <v>1</v>
      </c>
      <c r="D71" s="126" t="s">
        <v>118</v>
      </c>
      <c r="E71" s="127">
        <v>4950</v>
      </c>
      <c r="F71" s="83">
        <f t="shared" si="15"/>
        <v>4950</v>
      </c>
      <c r="G71" s="128">
        <v>742.5</v>
      </c>
      <c r="H71" s="76">
        <f t="shared" si="16"/>
        <v>742.5</v>
      </c>
      <c r="I71" s="76">
        <f t="shared" si="17"/>
        <v>5692.5</v>
      </c>
      <c r="J71" s="84">
        <f t="shared" si="18"/>
        <v>6336</v>
      </c>
      <c r="K71" s="83">
        <f t="shared" si="19"/>
        <v>6336</v>
      </c>
      <c r="L71" s="76">
        <f t="shared" si="20"/>
        <v>1039.5</v>
      </c>
      <c r="M71" s="76">
        <f t="shared" si="21"/>
        <v>1039.5</v>
      </c>
      <c r="N71" s="103">
        <f t="shared" si="22"/>
        <v>7375.5</v>
      </c>
      <c r="O71" s="143"/>
    </row>
    <row r="72" spans="1:15" s="129" customFormat="1" ht="20.100000000000001" customHeight="1">
      <c r="A72" s="122" t="s">
        <v>95</v>
      </c>
      <c r="B72" s="125" t="s">
        <v>121</v>
      </c>
      <c r="C72" s="126">
        <v>35</v>
      </c>
      <c r="D72" s="126" t="s">
        <v>120</v>
      </c>
      <c r="E72" s="127">
        <v>567</v>
      </c>
      <c r="F72" s="83">
        <f t="shared" si="15"/>
        <v>19845</v>
      </c>
      <c r="G72" s="128">
        <v>85.05</v>
      </c>
      <c r="H72" s="76">
        <f t="shared" si="16"/>
        <v>2976.75</v>
      </c>
      <c r="I72" s="76">
        <f t="shared" si="17"/>
        <v>22821.75</v>
      </c>
      <c r="J72" s="84">
        <f t="shared" si="18"/>
        <v>725.76</v>
      </c>
      <c r="K72" s="83">
        <f t="shared" si="19"/>
        <v>25401.599999999999</v>
      </c>
      <c r="L72" s="76">
        <f t="shared" si="20"/>
        <v>119.07000000000001</v>
      </c>
      <c r="M72" s="76">
        <f t="shared" si="21"/>
        <v>4167.45</v>
      </c>
      <c r="N72" s="103">
        <f t="shared" si="22"/>
        <v>29569.05</v>
      </c>
      <c r="O72" s="143"/>
    </row>
    <row r="73" spans="1:15" s="129" customFormat="1" ht="20.100000000000001" customHeight="1">
      <c r="A73" s="98" t="s">
        <v>96</v>
      </c>
      <c r="B73" s="125" t="s">
        <v>131</v>
      </c>
      <c r="C73" s="126">
        <v>3</v>
      </c>
      <c r="D73" s="126" t="s">
        <v>138</v>
      </c>
      <c r="E73" s="127">
        <v>76</v>
      </c>
      <c r="F73" s="83">
        <f t="shared" si="15"/>
        <v>228</v>
      </c>
      <c r="G73" s="128">
        <v>11.4</v>
      </c>
      <c r="H73" s="76">
        <f t="shared" si="16"/>
        <v>34.200000000000003</v>
      </c>
      <c r="I73" s="76">
        <f t="shared" si="17"/>
        <v>262.2</v>
      </c>
      <c r="J73" s="84">
        <f t="shared" si="18"/>
        <v>97.28</v>
      </c>
      <c r="K73" s="83">
        <f t="shared" si="19"/>
        <v>291.84000000000003</v>
      </c>
      <c r="L73" s="76">
        <f t="shared" si="20"/>
        <v>15.959999999999999</v>
      </c>
      <c r="M73" s="76">
        <f t="shared" si="21"/>
        <v>47.879999999999995</v>
      </c>
      <c r="N73" s="103">
        <f t="shared" si="22"/>
        <v>339.72</v>
      </c>
      <c r="O73" s="143"/>
    </row>
    <row r="74" spans="1:15" s="129" customFormat="1" ht="20.100000000000001" customHeight="1">
      <c r="A74" s="98" t="s">
        <v>89</v>
      </c>
      <c r="B74" s="125" t="s">
        <v>132</v>
      </c>
      <c r="C74" s="126">
        <v>4</v>
      </c>
      <c r="D74" s="126" t="s">
        <v>120</v>
      </c>
      <c r="E74" s="127">
        <v>64</v>
      </c>
      <c r="F74" s="83">
        <f t="shared" si="15"/>
        <v>256</v>
      </c>
      <c r="G74" s="128">
        <v>9.6</v>
      </c>
      <c r="H74" s="76">
        <f t="shared" si="16"/>
        <v>38.4</v>
      </c>
      <c r="I74" s="76">
        <f t="shared" si="17"/>
        <v>294.39999999999998</v>
      </c>
      <c r="J74" s="84">
        <f t="shared" si="18"/>
        <v>81.92</v>
      </c>
      <c r="K74" s="83">
        <f t="shared" si="19"/>
        <v>327.68</v>
      </c>
      <c r="L74" s="76">
        <f t="shared" si="20"/>
        <v>13.440000000000001</v>
      </c>
      <c r="M74" s="76">
        <f t="shared" si="21"/>
        <v>53.760000000000005</v>
      </c>
      <c r="N74" s="103">
        <f t="shared" si="22"/>
        <v>381.44</v>
      </c>
      <c r="O74" s="143"/>
    </row>
    <row r="75" spans="1:15" s="129" customFormat="1" ht="20.100000000000001" customHeight="1">
      <c r="A75" s="98" t="s">
        <v>97</v>
      </c>
      <c r="B75" s="125" t="s">
        <v>126</v>
      </c>
      <c r="C75" s="126">
        <v>1</v>
      </c>
      <c r="D75" s="126" t="s">
        <v>120</v>
      </c>
      <c r="E75" s="127">
        <v>10000</v>
      </c>
      <c r="F75" s="83">
        <f t="shared" si="15"/>
        <v>10000</v>
      </c>
      <c r="G75" s="128">
        <v>1500</v>
      </c>
      <c r="H75" s="76">
        <f t="shared" si="16"/>
        <v>1500</v>
      </c>
      <c r="I75" s="76">
        <f t="shared" si="17"/>
        <v>11500</v>
      </c>
      <c r="J75" s="84">
        <f t="shared" si="18"/>
        <v>12800</v>
      </c>
      <c r="K75" s="83">
        <f t="shared" si="19"/>
        <v>12800</v>
      </c>
      <c r="L75" s="76">
        <f t="shared" si="20"/>
        <v>2100</v>
      </c>
      <c r="M75" s="76">
        <f t="shared" si="21"/>
        <v>2100</v>
      </c>
      <c r="N75" s="103">
        <f t="shared" si="22"/>
        <v>14900</v>
      </c>
      <c r="O75" s="143"/>
    </row>
    <row r="76" spans="1:15" s="133" customFormat="1" ht="20.100000000000001" customHeight="1">
      <c r="A76" s="113"/>
      <c r="B76" s="131" t="s">
        <v>139</v>
      </c>
      <c r="C76" s="134"/>
      <c r="D76" s="134"/>
      <c r="E76" s="135"/>
      <c r="F76" s="117">
        <f t="shared" si="15"/>
        <v>0</v>
      </c>
      <c r="G76" s="136"/>
      <c r="H76" s="118">
        <f t="shared" si="16"/>
        <v>0</v>
      </c>
      <c r="I76" s="118">
        <f t="shared" si="17"/>
        <v>0</v>
      </c>
      <c r="J76" s="84">
        <f t="shared" si="18"/>
        <v>0</v>
      </c>
      <c r="K76" s="83">
        <f t="shared" si="19"/>
        <v>0</v>
      </c>
      <c r="L76" s="76">
        <f t="shared" si="20"/>
        <v>0</v>
      </c>
      <c r="M76" s="76">
        <f t="shared" si="21"/>
        <v>0</v>
      </c>
      <c r="N76" s="103">
        <f t="shared" si="22"/>
        <v>0</v>
      </c>
      <c r="O76" s="145"/>
    </row>
    <row r="77" spans="1:15" s="129" customFormat="1" ht="20.100000000000001" customHeight="1">
      <c r="A77" s="98" t="s">
        <v>88</v>
      </c>
      <c r="B77" s="125" t="s">
        <v>128</v>
      </c>
      <c r="C77" s="126">
        <v>2</v>
      </c>
      <c r="D77" s="126" t="s">
        <v>113</v>
      </c>
      <c r="E77" s="127">
        <v>9500</v>
      </c>
      <c r="F77" s="83">
        <f t="shared" si="15"/>
        <v>19000</v>
      </c>
      <c r="G77" s="128">
        <v>1425</v>
      </c>
      <c r="H77" s="76">
        <f t="shared" si="16"/>
        <v>2850</v>
      </c>
      <c r="I77" s="76">
        <f t="shared" si="17"/>
        <v>21850</v>
      </c>
      <c r="J77" s="84">
        <f t="shared" si="18"/>
        <v>12160</v>
      </c>
      <c r="K77" s="83">
        <f t="shared" si="19"/>
        <v>24320</v>
      </c>
      <c r="L77" s="76">
        <f t="shared" si="20"/>
        <v>1995</v>
      </c>
      <c r="M77" s="76">
        <f t="shared" si="21"/>
        <v>3990</v>
      </c>
      <c r="N77" s="103">
        <f t="shared" si="22"/>
        <v>28310</v>
      </c>
      <c r="O77" s="143"/>
    </row>
    <row r="78" spans="1:15" s="129" customFormat="1" ht="20.100000000000001" customHeight="1">
      <c r="A78" s="98" t="s">
        <v>144</v>
      </c>
      <c r="B78" s="125" t="s">
        <v>129</v>
      </c>
      <c r="C78" s="126">
        <v>400</v>
      </c>
      <c r="D78" s="126" t="s">
        <v>115</v>
      </c>
      <c r="E78" s="127">
        <v>51</v>
      </c>
      <c r="F78" s="83">
        <f t="shared" si="15"/>
        <v>20400</v>
      </c>
      <c r="G78" s="128">
        <v>7.6499999999999995</v>
      </c>
      <c r="H78" s="76">
        <f t="shared" si="16"/>
        <v>3060</v>
      </c>
      <c r="I78" s="76">
        <f t="shared" si="17"/>
        <v>23460</v>
      </c>
      <c r="J78" s="84">
        <f t="shared" si="18"/>
        <v>65.28</v>
      </c>
      <c r="K78" s="83">
        <f t="shared" si="19"/>
        <v>26112</v>
      </c>
      <c r="L78" s="76">
        <f t="shared" si="20"/>
        <v>10.709999999999999</v>
      </c>
      <c r="M78" s="76">
        <f t="shared" si="21"/>
        <v>4284</v>
      </c>
      <c r="N78" s="103">
        <f t="shared" si="22"/>
        <v>30396</v>
      </c>
      <c r="O78" s="143"/>
    </row>
    <row r="79" spans="1:15" s="129" customFormat="1" ht="20.100000000000001" customHeight="1">
      <c r="A79" s="98" t="s">
        <v>93</v>
      </c>
      <c r="B79" s="125" t="s">
        <v>130</v>
      </c>
      <c r="C79" s="126">
        <v>190</v>
      </c>
      <c r="D79" s="126" t="s">
        <v>115</v>
      </c>
      <c r="E79" s="127">
        <v>33</v>
      </c>
      <c r="F79" s="83">
        <f t="shared" si="15"/>
        <v>6270</v>
      </c>
      <c r="G79" s="128">
        <v>4.95</v>
      </c>
      <c r="H79" s="76">
        <f t="shared" si="16"/>
        <v>940.5</v>
      </c>
      <c r="I79" s="76">
        <f t="shared" si="17"/>
        <v>7210.5</v>
      </c>
      <c r="J79" s="84">
        <f t="shared" si="18"/>
        <v>42.24</v>
      </c>
      <c r="K79" s="83">
        <f t="shared" si="19"/>
        <v>8025.6</v>
      </c>
      <c r="L79" s="76">
        <f t="shared" si="20"/>
        <v>6.93</v>
      </c>
      <c r="M79" s="76">
        <f t="shared" si="21"/>
        <v>1316.7</v>
      </c>
      <c r="N79" s="103">
        <f t="shared" si="22"/>
        <v>9342.3000000000011</v>
      </c>
      <c r="O79" s="143"/>
    </row>
    <row r="80" spans="1:15" s="129" customFormat="1" ht="20.100000000000001" customHeight="1">
      <c r="A80" s="98" t="s">
        <v>94</v>
      </c>
      <c r="B80" s="125" t="s">
        <v>117</v>
      </c>
      <c r="C80" s="126">
        <v>2</v>
      </c>
      <c r="D80" s="126" t="s">
        <v>118</v>
      </c>
      <c r="E80" s="127">
        <v>4950</v>
      </c>
      <c r="F80" s="83">
        <f t="shared" si="15"/>
        <v>9900</v>
      </c>
      <c r="G80" s="128">
        <v>742.5</v>
      </c>
      <c r="H80" s="76">
        <f t="shared" si="16"/>
        <v>1485</v>
      </c>
      <c r="I80" s="76">
        <f t="shared" si="17"/>
        <v>11385</v>
      </c>
      <c r="J80" s="84">
        <f t="shared" si="18"/>
        <v>6336</v>
      </c>
      <c r="K80" s="83">
        <f t="shared" si="19"/>
        <v>12672</v>
      </c>
      <c r="L80" s="76">
        <f t="shared" si="20"/>
        <v>1039.5</v>
      </c>
      <c r="M80" s="76">
        <f t="shared" si="21"/>
        <v>2079</v>
      </c>
      <c r="N80" s="103">
        <f t="shared" si="22"/>
        <v>14751</v>
      </c>
      <c r="O80" s="143"/>
    </row>
    <row r="81" spans="1:15" s="129" customFormat="1" ht="20.100000000000001" customHeight="1">
      <c r="A81" s="122" t="s">
        <v>95</v>
      </c>
      <c r="B81" s="125" t="s">
        <v>121</v>
      </c>
      <c r="C81" s="126">
        <v>70</v>
      </c>
      <c r="D81" s="126" t="s">
        <v>120</v>
      </c>
      <c r="E81" s="127">
        <v>567</v>
      </c>
      <c r="F81" s="83">
        <f t="shared" si="15"/>
        <v>39690</v>
      </c>
      <c r="G81" s="128">
        <v>85.05</v>
      </c>
      <c r="H81" s="76">
        <f t="shared" si="16"/>
        <v>5953.5</v>
      </c>
      <c r="I81" s="76">
        <f t="shared" si="17"/>
        <v>45643.5</v>
      </c>
      <c r="J81" s="84">
        <f t="shared" si="18"/>
        <v>725.76</v>
      </c>
      <c r="K81" s="83">
        <f t="shared" si="19"/>
        <v>50803.199999999997</v>
      </c>
      <c r="L81" s="76">
        <f t="shared" si="20"/>
        <v>119.07000000000001</v>
      </c>
      <c r="M81" s="76">
        <f t="shared" si="21"/>
        <v>8334.9</v>
      </c>
      <c r="N81" s="103">
        <f t="shared" si="22"/>
        <v>59138.1</v>
      </c>
      <c r="O81" s="143"/>
    </row>
    <row r="82" spans="1:15" s="129" customFormat="1" ht="20.100000000000001" customHeight="1">
      <c r="A82" s="98" t="s">
        <v>96</v>
      </c>
      <c r="B82" s="125" t="s">
        <v>131</v>
      </c>
      <c r="C82" s="126">
        <v>6</v>
      </c>
      <c r="D82" s="126" t="s">
        <v>138</v>
      </c>
      <c r="E82" s="127">
        <v>76</v>
      </c>
      <c r="F82" s="83">
        <f t="shared" si="15"/>
        <v>456</v>
      </c>
      <c r="G82" s="128">
        <v>11.4</v>
      </c>
      <c r="H82" s="76">
        <f t="shared" si="16"/>
        <v>68.400000000000006</v>
      </c>
      <c r="I82" s="76">
        <f t="shared" si="17"/>
        <v>524.4</v>
      </c>
      <c r="J82" s="84">
        <f t="shared" si="18"/>
        <v>97.28</v>
      </c>
      <c r="K82" s="83">
        <f t="shared" si="19"/>
        <v>583.68000000000006</v>
      </c>
      <c r="L82" s="76">
        <f t="shared" si="20"/>
        <v>15.959999999999999</v>
      </c>
      <c r="M82" s="76">
        <f t="shared" si="21"/>
        <v>95.759999999999991</v>
      </c>
      <c r="N82" s="103">
        <f t="shared" si="22"/>
        <v>679.44</v>
      </c>
      <c r="O82" s="143"/>
    </row>
    <row r="83" spans="1:15" s="129" customFormat="1" ht="20.100000000000001" customHeight="1">
      <c r="A83" s="98" t="s">
        <v>89</v>
      </c>
      <c r="B83" s="125" t="s">
        <v>132</v>
      </c>
      <c r="C83" s="126">
        <v>8</v>
      </c>
      <c r="D83" s="126" t="s">
        <v>120</v>
      </c>
      <c r="E83" s="127">
        <v>64</v>
      </c>
      <c r="F83" s="83">
        <f t="shared" si="15"/>
        <v>512</v>
      </c>
      <c r="G83" s="128">
        <v>9.6</v>
      </c>
      <c r="H83" s="76">
        <f t="shared" si="16"/>
        <v>76.8</v>
      </c>
      <c r="I83" s="76">
        <f t="shared" si="17"/>
        <v>588.79999999999995</v>
      </c>
      <c r="J83" s="84">
        <f t="shared" si="18"/>
        <v>81.92</v>
      </c>
      <c r="K83" s="83">
        <f t="shared" si="19"/>
        <v>655.36</v>
      </c>
      <c r="L83" s="76">
        <f t="shared" si="20"/>
        <v>13.440000000000001</v>
      </c>
      <c r="M83" s="76">
        <f t="shared" si="21"/>
        <v>107.52000000000001</v>
      </c>
      <c r="N83" s="103">
        <f t="shared" si="22"/>
        <v>762.88</v>
      </c>
      <c r="O83" s="143"/>
    </row>
    <row r="84" spans="1:15" s="129" customFormat="1" ht="20.100000000000001" customHeight="1">
      <c r="A84" s="98" t="s">
        <v>97</v>
      </c>
      <c r="B84" s="125" t="s">
        <v>126</v>
      </c>
      <c r="C84" s="126">
        <v>1</v>
      </c>
      <c r="D84" s="126" t="s">
        <v>13</v>
      </c>
      <c r="E84" s="127">
        <v>20000</v>
      </c>
      <c r="F84" s="83">
        <f t="shared" si="15"/>
        <v>20000</v>
      </c>
      <c r="G84" s="128">
        <v>3000</v>
      </c>
      <c r="H84" s="76">
        <f t="shared" si="16"/>
        <v>3000</v>
      </c>
      <c r="I84" s="76">
        <f t="shared" si="17"/>
        <v>23000</v>
      </c>
      <c r="J84" s="84">
        <f t="shared" si="18"/>
        <v>25600</v>
      </c>
      <c r="K84" s="83">
        <f t="shared" si="19"/>
        <v>25600</v>
      </c>
      <c r="L84" s="76">
        <f t="shared" si="20"/>
        <v>4200</v>
      </c>
      <c r="M84" s="76">
        <f t="shared" si="21"/>
        <v>4200</v>
      </c>
      <c r="N84" s="103">
        <f t="shared" si="22"/>
        <v>29800</v>
      </c>
      <c r="O84" s="143"/>
    </row>
    <row r="85" spans="1:15" s="133" customFormat="1" ht="20.100000000000001" customHeight="1">
      <c r="A85" s="113"/>
      <c r="B85" s="131" t="s">
        <v>140</v>
      </c>
      <c r="C85" s="134"/>
      <c r="D85" s="134"/>
      <c r="E85" s="135"/>
      <c r="F85" s="117">
        <f t="shared" si="15"/>
        <v>0</v>
      </c>
      <c r="G85" s="136"/>
      <c r="H85" s="118">
        <f t="shared" si="16"/>
        <v>0</v>
      </c>
      <c r="I85" s="118">
        <f t="shared" si="17"/>
        <v>0</v>
      </c>
      <c r="J85" s="84">
        <f t="shared" si="18"/>
        <v>0</v>
      </c>
      <c r="K85" s="83">
        <f t="shared" si="19"/>
        <v>0</v>
      </c>
      <c r="L85" s="76">
        <f t="shared" si="20"/>
        <v>0</v>
      </c>
      <c r="M85" s="76">
        <f t="shared" si="21"/>
        <v>0</v>
      </c>
      <c r="N85" s="103">
        <f t="shared" si="22"/>
        <v>0</v>
      </c>
      <c r="O85" s="145"/>
    </row>
    <row r="86" spans="1:15" s="129" customFormat="1" ht="20.100000000000001" customHeight="1">
      <c r="A86" s="98" t="s">
        <v>88</v>
      </c>
      <c r="B86" s="125" t="s">
        <v>128</v>
      </c>
      <c r="C86" s="126">
        <v>2</v>
      </c>
      <c r="D86" s="126" t="s">
        <v>113</v>
      </c>
      <c r="E86" s="127">
        <v>9500</v>
      </c>
      <c r="F86" s="83">
        <f t="shared" si="15"/>
        <v>19000</v>
      </c>
      <c r="G86" s="128">
        <v>1425</v>
      </c>
      <c r="H86" s="76">
        <f t="shared" si="16"/>
        <v>2850</v>
      </c>
      <c r="I86" s="76">
        <f t="shared" si="17"/>
        <v>21850</v>
      </c>
      <c r="J86" s="84">
        <f t="shared" si="18"/>
        <v>12160</v>
      </c>
      <c r="K86" s="83">
        <f t="shared" si="19"/>
        <v>24320</v>
      </c>
      <c r="L86" s="76">
        <f t="shared" si="20"/>
        <v>1995</v>
      </c>
      <c r="M86" s="76">
        <f t="shared" si="21"/>
        <v>3990</v>
      </c>
      <c r="N86" s="103">
        <f t="shared" si="22"/>
        <v>28310</v>
      </c>
      <c r="O86" s="143"/>
    </row>
    <row r="87" spans="1:15" s="129" customFormat="1" ht="20.100000000000001" customHeight="1">
      <c r="A87" s="98" t="s">
        <v>144</v>
      </c>
      <c r="B87" s="125" t="s">
        <v>129</v>
      </c>
      <c r="C87" s="126">
        <v>400</v>
      </c>
      <c r="D87" s="126" t="s">
        <v>115</v>
      </c>
      <c r="E87" s="127">
        <v>51</v>
      </c>
      <c r="F87" s="83">
        <f t="shared" si="15"/>
        <v>20400</v>
      </c>
      <c r="G87" s="128">
        <v>7.6499999999999995</v>
      </c>
      <c r="H87" s="76">
        <f t="shared" si="16"/>
        <v>3060</v>
      </c>
      <c r="I87" s="76">
        <f t="shared" si="17"/>
        <v>23460</v>
      </c>
      <c r="J87" s="84">
        <f t="shared" si="18"/>
        <v>65.28</v>
      </c>
      <c r="K87" s="83">
        <f t="shared" si="19"/>
        <v>26112</v>
      </c>
      <c r="L87" s="76">
        <f t="shared" si="20"/>
        <v>10.709999999999999</v>
      </c>
      <c r="M87" s="76">
        <f t="shared" si="21"/>
        <v>4284</v>
      </c>
      <c r="N87" s="103">
        <f t="shared" si="22"/>
        <v>30396</v>
      </c>
      <c r="O87" s="143"/>
    </row>
    <row r="88" spans="1:15" s="129" customFormat="1" ht="20.100000000000001" customHeight="1">
      <c r="A88" s="98" t="s">
        <v>93</v>
      </c>
      <c r="B88" s="125" t="s">
        <v>130</v>
      </c>
      <c r="C88" s="126">
        <v>190</v>
      </c>
      <c r="D88" s="126" t="s">
        <v>115</v>
      </c>
      <c r="E88" s="127">
        <v>33</v>
      </c>
      <c r="F88" s="83">
        <f t="shared" si="15"/>
        <v>6270</v>
      </c>
      <c r="G88" s="128">
        <v>4.95</v>
      </c>
      <c r="H88" s="76">
        <f t="shared" si="16"/>
        <v>940.5</v>
      </c>
      <c r="I88" s="76">
        <f t="shared" si="17"/>
        <v>7210.5</v>
      </c>
      <c r="J88" s="84">
        <f t="shared" si="18"/>
        <v>42.24</v>
      </c>
      <c r="K88" s="83">
        <f t="shared" si="19"/>
        <v>8025.6</v>
      </c>
      <c r="L88" s="76">
        <f t="shared" si="20"/>
        <v>6.93</v>
      </c>
      <c r="M88" s="76">
        <f t="shared" si="21"/>
        <v>1316.7</v>
      </c>
      <c r="N88" s="103">
        <f t="shared" si="22"/>
        <v>9342.3000000000011</v>
      </c>
      <c r="O88" s="143"/>
    </row>
    <row r="89" spans="1:15" s="129" customFormat="1" ht="20.100000000000001" customHeight="1">
      <c r="A89" s="98" t="s">
        <v>94</v>
      </c>
      <c r="B89" s="125" t="s">
        <v>117</v>
      </c>
      <c r="C89" s="126">
        <v>2</v>
      </c>
      <c r="D89" s="126" t="s">
        <v>118</v>
      </c>
      <c r="E89" s="127">
        <v>4950</v>
      </c>
      <c r="F89" s="83">
        <f t="shared" si="15"/>
        <v>9900</v>
      </c>
      <c r="G89" s="128">
        <v>742.5</v>
      </c>
      <c r="H89" s="76">
        <f t="shared" si="16"/>
        <v>1485</v>
      </c>
      <c r="I89" s="76">
        <f t="shared" si="17"/>
        <v>11385</v>
      </c>
      <c r="J89" s="84">
        <f t="shared" si="18"/>
        <v>6336</v>
      </c>
      <c r="K89" s="83">
        <f t="shared" si="19"/>
        <v>12672</v>
      </c>
      <c r="L89" s="76">
        <f t="shared" si="20"/>
        <v>1039.5</v>
      </c>
      <c r="M89" s="76">
        <f t="shared" si="21"/>
        <v>2079</v>
      </c>
      <c r="N89" s="103">
        <f t="shared" si="22"/>
        <v>14751</v>
      </c>
      <c r="O89" s="143"/>
    </row>
    <row r="90" spans="1:15" s="129" customFormat="1" ht="20.100000000000001" customHeight="1">
      <c r="A90" s="122" t="s">
        <v>95</v>
      </c>
      <c r="B90" s="125" t="s">
        <v>121</v>
      </c>
      <c r="C90" s="126">
        <v>70</v>
      </c>
      <c r="D90" s="126" t="s">
        <v>120</v>
      </c>
      <c r="E90" s="127">
        <v>567</v>
      </c>
      <c r="F90" s="83">
        <f t="shared" si="15"/>
        <v>39690</v>
      </c>
      <c r="G90" s="128">
        <v>85.05</v>
      </c>
      <c r="H90" s="76">
        <f t="shared" si="16"/>
        <v>5953.5</v>
      </c>
      <c r="I90" s="76">
        <f t="shared" si="17"/>
        <v>45643.5</v>
      </c>
      <c r="J90" s="84">
        <f t="shared" si="18"/>
        <v>725.76</v>
      </c>
      <c r="K90" s="83">
        <f t="shared" si="19"/>
        <v>50803.199999999997</v>
      </c>
      <c r="L90" s="76">
        <f t="shared" si="20"/>
        <v>119.07000000000001</v>
      </c>
      <c r="M90" s="76">
        <f t="shared" si="21"/>
        <v>8334.9</v>
      </c>
      <c r="N90" s="103">
        <f t="shared" si="22"/>
        <v>59138.1</v>
      </c>
      <c r="O90" s="143"/>
    </row>
    <row r="91" spans="1:15" s="129" customFormat="1" ht="20.100000000000001" customHeight="1">
      <c r="A91" s="98" t="s">
        <v>96</v>
      </c>
      <c r="B91" s="125" t="s">
        <v>131</v>
      </c>
      <c r="C91" s="126">
        <v>6</v>
      </c>
      <c r="D91" s="126" t="s">
        <v>138</v>
      </c>
      <c r="E91" s="127">
        <v>76</v>
      </c>
      <c r="F91" s="83">
        <f t="shared" si="15"/>
        <v>456</v>
      </c>
      <c r="G91" s="128">
        <v>11.4</v>
      </c>
      <c r="H91" s="76">
        <f t="shared" si="16"/>
        <v>68.400000000000006</v>
      </c>
      <c r="I91" s="76">
        <f t="shared" si="17"/>
        <v>524.4</v>
      </c>
      <c r="J91" s="84">
        <f t="shared" si="18"/>
        <v>97.28</v>
      </c>
      <c r="K91" s="83">
        <f t="shared" si="19"/>
        <v>583.68000000000006</v>
      </c>
      <c r="L91" s="76">
        <f t="shared" si="20"/>
        <v>15.959999999999999</v>
      </c>
      <c r="M91" s="76">
        <f t="shared" si="21"/>
        <v>95.759999999999991</v>
      </c>
      <c r="N91" s="103">
        <f t="shared" si="22"/>
        <v>679.44</v>
      </c>
      <c r="O91" s="143"/>
    </row>
    <row r="92" spans="1:15" s="129" customFormat="1" ht="20.100000000000001" customHeight="1">
      <c r="A92" s="98" t="s">
        <v>89</v>
      </c>
      <c r="B92" s="125" t="s">
        <v>132</v>
      </c>
      <c r="C92" s="126">
        <v>8</v>
      </c>
      <c r="D92" s="126" t="s">
        <v>120</v>
      </c>
      <c r="E92" s="127">
        <v>64</v>
      </c>
      <c r="F92" s="83">
        <f t="shared" si="15"/>
        <v>512</v>
      </c>
      <c r="G92" s="128">
        <v>9.6</v>
      </c>
      <c r="H92" s="76">
        <f t="shared" si="16"/>
        <v>76.8</v>
      </c>
      <c r="I92" s="76">
        <f t="shared" si="17"/>
        <v>588.79999999999995</v>
      </c>
      <c r="J92" s="84">
        <f t="shared" si="18"/>
        <v>81.92</v>
      </c>
      <c r="K92" s="83">
        <f t="shared" si="19"/>
        <v>655.36</v>
      </c>
      <c r="L92" s="76">
        <f t="shared" si="20"/>
        <v>13.440000000000001</v>
      </c>
      <c r="M92" s="76">
        <f t="shared" si="21"/>
        <v>107.52000000000001</v>
      </c>
      <c r="N92" s="103">
        <f t="shared" si="22"/>
        <v>762.88</v>
      </c>
      <c r="O92" s="143"/>
    </row>
    <row r="93" spans="1:15" s="129" customFormat="1" ht="20.100000000000001" customHeight="1">
      <c r="A93" s="98" t="s">
        <v>97</v>
      </c>
      <c r="B93" s="125" t="s">
        <v>126</v>
      </c>
      <c r="C93" s="126">
        <v>1</v>
      </c>
      <c r="D93" s="126" t="s">
        <v>13</v>
      </c>
      <c r="E93" s="127">
        <v>20000</v>
      </c>
      <c r="F93" s="83">
        <f t="shared" si="15"/>
        <v>20000</v>
      </c>
      <c r="G93" s="128">
        <v>3000</v>
      </c>
      <c r="H93" s="76">
        <f t="shared" si="16"/>
        <v>3000</v>
      </c>
      <c r="I93" s="76">
        <f t="shared" si="17"/>
        <v>23000</v>
      </c>
      <c r="J93" s="84">
        <f t="shared" si="18"/>
        <v>25600</v>
      </c>
      <c r="K93" s="83">
        <f t="shared" si="19"/>
        <v>25600</v>
      </c>
      <c r="L93" s="76">
        <f t="shared" si="20"/>
        <v>4200</v>
      </c>
      <c r="M93" s="76">
        <f t="shared" si="21"/>
        <v>4200</v>
      </c>
      <c r="N93" s="103">
        <f t="shared" si="22"/>
        <v>29800</v>
      </c>
      <c r="O93" s="143"/>
    </row>
    <row r="94" spans="1:15" s="133" customFormat="1" ht="20.100000000000001" customHeight="1">
      <c r="A94" s="113"/>
      <c r="B94" s="131" t="s">
        <v>141</v>
      </c>
      <c r="C94" s="134"/>
      <c r="D94" s="134"/>
      <c r="E94" s="135"/>
      <c r="F94" s="117">
        <f t="shared" si="15"/>
        <v>0</v>
      </c>
      <c r="G94" s="136"/>
      <c r="H94" s="118">
        <f t="shared" si="16"/>
        <v>0</v>
      </c>
      <c r="I94" s="118">
        <f t="shared" si="17"/>
        <v>0</v>
      </c>
      <c r="J94" s="84">
        <f t="shared" si="18"/>
        <v>0</v>
      </c>
      <c r="K94" s="83">
        <f t="shared" si="19"/>
        <v>0</v>
      </c>
      <c r="L94" s="76">
        <f t="shared" si="20"/>
        <v>0</v>
      </c>
      <c r="M94" s="76">
        <f t="shared" si="21"/>
        <v>0</v>
      </c>
      <c r="N94" s="103">
        <f t="shared" si="22"/>
        <v>0</v>
      </c>
      <c r="O94" s="145"/>
    </row>
    <row r="95" spans="1:15" s="129" customFormat="1" ht="20.100000000000001" customHeight="1">
      <c r="A95" s="98" t="s">
        <v>88</v>
      </c>
      <c r="B95" s="125" t="s">
        <v>128</v>
      </c>
      <c r="C95" s="126">
        <v>1</v>
      </c>
      <c r="D95" s="126" t="s">
        <v>113</v>
      </c>
      <c r="E95" s="127">
        <v>9500</v>
      </c>
      <c r="F95" s="83">
        <f t="shared" si="15"/>
        <v>9500</v>
      </c>
      <c r="G95" s="128">
        <v>1425</v>
      </c>
      <c r="H95" s="76">
        <f t="shared" si="16"/>
        <v>1425</v>
      </c>
      <c r="I95" s="76">
        <f t="shared" si="17"/>
        <v>10925</v>
      </c>
      <c r="J95" s="84">
        <f t="shared" si="18"/>
        <v>12160</v>
      </c>
      <c r="K95" s="83">
        <f t="shared" si="19"/>
        <v>12160</v>
      </c>
      <c r="L95" s="76">
        <f t="shared" si="20"/>
        <v>1995</v>
      </c>
      <c r="M95" s="76">
        <f t="shared" si="21"/>
        <v>1995</v>
      </c>
      <c r="N95" s="103">
        <f t="shared" si="22"/>
        <v>14155</v>
      </c>
      <c r="O95" s="143"/>
    </row>
    <row r="96" spans="1:15" s="129" customFormat="1" ht="20.100000000000001" customHeight="1">
      <c r="A96" s="98" t="s">
        <v>144</v>
      </c>
      <c r="B96" s="125" t="s">
        <v>114</v>
      </c>
      <c r="C96" s="126">
        <v>210</v>
      </c>
      <c r="D96" s="126" t="s">
        <v>115</v>
      </c>
      <c r="E96" s="127">
        <v>143</v>
      </c>
      <c r="F96" s="83">
        <f t="shared" si="15"/>
        <v>30030</v>
      </c>
      <c r="G96" s="128">
        <v>21.45</v>
      </c>
      <c r="H96" s="76">
        <f t="shared" si="16"/>
        <v>4504.5</v>
      </c>
      <c r="I96" s="76">
        <f t="shared" si="17"/>
        <v>34534.5</v>
      </c>
      <c r="J96" s="84">
        <f t="shared" si="18"/>
        <v>183.04000000000002</v>
      </c>
      <c r="K96" s="83">
        <f t="shared" si="19"/>
        <v>38438.400000000001</v>
      </c>
      <c r="L96" s="76">
        <f t="shared" si="20"/>
        <v>30.03</v>
      </c>
      <c r="M96" s="76">
        <f t="shared" si="21"/>
        <v>6306.3</v>
      </c>
      <c r="N96" s="103">
        <f t="shared" si="22"/>
        <v>44744.700000000004</v>
      </c>
      <c r="O96" s="143"/>
    </row>
    <row r="97" spans="1:15" s="129" customFormat="1" ht="20.100000000000001" customHeight="1">
      <c r="A97" s="98" t="s">
        <v>93</v>
      </c>
      <c r="B97" s="125" t="s">
        <v>116</v>
      </c>
      <c r="C97" s="126">
        <v>75</v>
      </c>
      <c r="D97" s="126" t="s">
        <v>115</v>
      </c>
      <c r="E97" s="127">
        <v>68</v>
      </c>
      <c r="F97" s="83">
        <f t="shared" si="15"/>
        <v>5100</v>
      </c>
      <c r="G97" s="128">
        <v>10.199999999999999</v>
      </c>
      <c r="H97" s="76">
        <f t="shared" si="16"/>
        <v>765</v>
      </c>
      <c r="I97" s="76">
        <f t="shared" si="17"/>
        <v>5865</v>
      </c>
      <c r="J97" s="84">
        <f t="shared" si="18"/>
        <v>87.04</v>
      </c>
      <c r="K97" s="83">
        <f t="shared" si="19"/>
        <v>6528.0000000000009</v>
      </c>
      <c r="L97" s="76">
        <f t="shared" si="20"/>
        <v>14.279999999999998</v>
      </c>
      <c r="M97" s="76">
        <f t="shared" si="21"/>
        <v>1070.9999999999998</v>
      </c>
      <c r="N97" s="103">
        <f t="shared" si="22"/>
        <v>7599.0000000000009</v>
      </c>
      <c r="O97" s="143"/>
    </row>
    <row r="98" spans="1:15" s="129" customFormat="1" ht="20.100000000000001" customHeight="1">
      <c r="A98" s="98" t="s">
        <v>94</v>
      </c>
      <c r="B98" s="125" t="s">
        <v>117</v>
      </c>
      <c r="C98" s="126">
        <v>1</v>
      </c>
      <c r="D98" s="126" t="s">
        <v>118</v>
      </c>
      <c r="E98" s="127">
        <v>4950</v>
      </c>
      <c r="F98" s="83">
        <f t="shared" si="15"/>
        <v>4950</v>
      </c>
      <c r="G98" s="128">
        <v>742.5</v>
      </c>
      <c r="H98" s="76">
        <f t="shared" si="16"/>
        <v>742.5</v>
      </c>
      <c r="I98" s="76">
        <f t="shared" si="17"/>
        <v>5692.5</v>
      </c>
      <c r="J98" s="84">
        <f t="shared" si="18"/>
        <v>6336</v>
      </c>
      <c r="K98" s="83">
        <f t="shared" si="19"/>
        <v>6336</v>
      </c>
      <c r="L98" s="76">
        <f t="shared" si="20"/>
        <v>1039.5</v>
      </c>
      <c r="M98" s="76">
        <f t="shared" si="21"/>
        <v>1039.5</v>
      </c>
      <c r="N98" s="103">
        <f t="shared" si="22"/>
        <v>7375.5</v>
      </c>
      <c r="O98" s="143"/>
    </row>
    <row r="99" spans="1:15" s="129" customFormat="1" ht="20.100000000000001" customHeight="1">
      <c r="A99" s="122" t="s">
        <v>95</v>
      </c>
      <c r="B99" s="125" t="s">
        <v>119</v>
      </c>
      <c r="C99" s="126">
        <v>26</v>
      </c>
      <c r="D99" s="126" t="s">
        <v>120</v>
      </c>
      <c r="E99" s="127">
        <v>1066</v>
      </c>
      <c r="F99" s="83">
        <f t="shared" si="15"/>
        <v>27716</v>
      </c>
      <c r="G99" s="128">
        <v>159.9</v>
      </c>
      <c r="H99" s="76">
        <f t="shared" si="16"/>
        <v>4157.4000000000005</v>
      </c>
      <c r="I99" s="76">
        <f t="shared" si="17"/>
        <v>31873.4</v>
      </c>
      <c r="J99" s="84">
        <f t="shared" si="18"/>
        <v>1364.48</v>
      </c>
      <c r="K99" s="83">
        <f t="shared" si="19"/>
        <v>35476.480000000003</v>
      </c>
      <c r="L99" s="76">
        <f t="shared" si="20"/>
        <v>223.85999999999999</v>
      </c>
      <c r="M99" s="76">
        <f t="shared" si="21"/>
        <v>5820.36</v>
      </c>
      <c r="N99" s="103">
        <f t="shared" si="22"/>
        <v>41296.840000000004</v>
      </c>
      <c r="O99" s="143"/>
    </row>
    <row r="100" spans="1:15" s="129" customFormat="1" ht="20.100000000000001" customHeight="1">
      <c r="A100" s="98" t="s">
        <v>96</v>
      </c>
      <c r="B100" s="125" t="s">
        <v>121</v>
      </c>
      <c r="C100" s="126">
        <v>20</v>
      </c>
      <c r="D100" s="126" t="s">
        <v>120</v>
      </c>
      <c r="E100" s="127">
        <v>567</v>
      </c>
      <c r="F100" s="83">
        <f t="shared" ref="F100:F136" si="23">E100*C100</f>
        <v>11340</v>
      </c>
      <c r="G100" s="128">
        <v>85.05</v>
      </c>
      <c r="H100" s="76">
        <f t="shared" ref="H100:H117" si="24">G100*C100</f>
        <v>1701</v>
      </c>
      <c r="I100" s="76">
        <f t="shared" ref="I100:I117" si="25">H100+F100</f>
        <v>13041</v>
      </c>
      <c r="J100" s="84">
        <f t="shared" ref="J100:J117" si="26">E100*$H$6/$I$6</f>
        <v>725.76</v>
      </c>
      <c r="K100" s="83">
        <f t="shared" ref="K100:K117" si="27">J100*C100</f>
        <v>14515.2</v>
      </c>
      <c r="L100" s="76">
        <f t="shared" ref="L100:L117" si="28">G100*$H$7/$I$6</f>
        <v>119.07000000000001</v>
      </c>
      <c r="M100" s="76">
        <f t="shared" ref="M100:M117" si="29">L100*C100</f>
        <v>2381.4</v>
      </c>
      <c r="N100" s="103">
        <f t="shared" ref="N100:N117" si="30">M100+K100</f>
        <v>16896.600000000002</v>
      </c>
      <c r="O100" s="143"/>
    </row>
    <row r="101" spans="1:15" s="129" customFormat="1" ht="20.100000000000001" customHeight="1">
      <c r="A101" s="98" t="s">
        <v>89</v>
      </c>
      <c r="B101" s="125" t="s">
        <v>122</v>
      </c>
      <c r="C101" s="126">
        <v>3</v>
      </c>
      <c r="D101" s="126" t="s">
        <v>115</v>
      </c>
      <c r="E101" s="127">
        <v>221</v>
      </c>
      <c r="F101" s="83">
        <f t="shared" si="23"/>
        <v>663</v>
      </c>
      <c r="G101" s="128">
        <v>33.15</v>
      </c>
      <c r="H101" s="76">
        <f t="shared" si="24"/>
        <v>99.449999999999989</v>
      </c>
      <c r="I101" s="76">
        <f t="shared" si="25"/>
        <v>762.45</v>
      </c>
      <c r="J101" s="84">
        <f t="shared" si="26"/>
        <v>282.88</v>
      </c>
      <c r="K101" s="83">
        <f t="shared" si="27"/>
        <v>848.64</v>
      </c>
      <c r="L101" s="76">
        <f t="shared" si="28"/>
        <v>46.41</v>
      </c>
      <c r="M101" s="76">
        <f t="shared" si="29"/>
        <v>139.22999999999999</v>
      </c>
      <c r="N101" s="103">
        <f t="shared" si="30"/>
        <v>987.87</v>
      </c>
      <c r="O101" s="143"/>
    </row>
    <row r="102" spans="1:15" s="129" customFormat="1" ht="20.100000000000001" customHeight="1">
      <c r="A102" s="98" t="s">
        <v>97</v>
      </c>
      <c r="B102" s="125" t="s">
        <v>123</v>
      </c>
      <c r="C102" s="126">
        <v>4</v>
      </c>
      <c r="D102" s="126" t="s">
        <v>120</v>
      </c>
      <c r="E102" s="127">
        <v>119</v>
      </c>
      <c r="F102" s="83">
        <f t="shared" si="23"/>
        <v>476</v>
      </c>
      <c r="G102" s="128">
        <v>17.849999999999998</v>
      </c>
      <c r="H102" s="76">
        <f t="shared" si="24"/>
        <v>71.399999999999991</v>
      </c>
      <c r="I102" s="76">
        <f t="shared" si="25"/>
        <v>547.4</v>
      </c>
      <c r="J102" s="84">
        <f t="shared" si="26"/>
        <v>152.32</v>
      </c>
      <c r="K102" s="83">
        <f t="shared" si="27"/>
        <v>609.28</v>
      </c>
      <c r="L102" s="76">
        <f t="shared" si="28"/>
        <v>24.99</v>
      </c>
      <c r="M102" s="76">
        <f t="shared" si="29"/>
        <v>99.96</v>
      </c>
      <c r="N102" s="103">
        <f t="shared" si="30"/>
        <v>709.24</v>
      </c>
      <c r="O102" s="143"/>
    </row>
    <row r="103" spans="1:15" s="129" customFormat="1" ht="20.100000000000001" customHeight="1">
      <c r="A103" s="98" t="s">
        <v>98</v>
      </c>
      <c r="B103" s="125" t="s">
        <v>124</v>
      </c>
      <c r="C103" s="126">
        <v>9</v>
      </c>
      <c r="D103" s="126" t="s">
        <v>120</v>
      </c>
      <c r="E103" s="127">
        <v>69</v>
      </c>
      <c r="F103" s="83">
        <f t="shared" si="23"/>
        <v>621</v>
      </c>
      <c r="G103" s="128">
        <v>10.35</v>
      </c>
      <c r="H103" s="76">
        <f t="shared" si="24"/>
        <v>93.149999999999991</v>
      </c>
      <c r="I103" s="76">
        <f t="shared" si="25"/>
        <v>714.15</v>
      </c>
      <c r="J103" s="84">
        <f t="shared" si="26"/>
        <v>88.320000000000007</v>
      </c>
      <c r="K103" s="83">
        <f t="shared" si="27"/>
        <v>794.88000000000011</v>
      </c>
      <c r="L103" s="76">
        <f t="shared" si="28"/>
        <v>14.49</v>
      </c>
      <c r="M103" s="76">
        <f t="shared" si="29"/>
        <v>130.41</v>
      </c>
      <c r="N103" s="103">
        <f t="shared" si="30"/>
        <v>925.29000000000008</v>
      </c>
      <c r="O103" s="143"/>
    </row>
    <row r="104" spans="1:15" s="129" customFormat="1" ht="20.100000000000001" customHeight="1">
      <c r="A104" s="98" t="s">
        <v>99</v>
      </c>
      <c r="B104" s="125" t="s">
        <v>125</v>
      </c>
      <c r="C104" s="126">
        <v>4</v>
      </c>
      <c r="D104" s="126" t="s">
        <v>120</v>
      </c>
      <c r="E104" s="127">
        <v>35</v>
      </c>
      <c r="F104" s="83">
        <f t="shared" si="23"/>
        <v>140</v>
      </c>
      <c r="G104" s="128">
        <v>5.25</v>
      </c>
      <c r="H104" s="76">
        <f t="shared" si="24"/>
        <v>21</v>
      </c>
      <c r="I104" s="76">
        <f t="shared" si="25"/>
        <v>161</v>
      </c>
      <c r="J104" s="84">
        <f t="shared" si="26"/>
        <v>44.8</v>
      </c>
      <c r="K104" s="83">
        <f t="shared" si="27"/>
        <v>179.2</v>
      </c>
      <c r="L104" s="76">
        <f t="shared" si="28"/>
        <v>7.35</v>
      </c>
      <c r="M104" s="76">
        <f t="shared" si="29"/>
        <v>29.4</v>
      </c>
      <c r="N104" s="103">
        <f t="shared" si="30"/>
        <v>208.6</v>
      </c>
      <c r="O104" s="143"/>
    </row>
    <row r="105" spans="1:15" s="129" customFormat="1" ht="20.100000000000001" customHeight="1">
      <c r="A105" s="98" t="s">
        <v>145</v>
      </c>
      <c r="B105" s="125" t="s">
        <v>126</v>
      </c>
      <c r="C105" s="126">
        <v>1</v>
      </c>
      <c r="D105" s="126" t="s">
        <v>13</v>
      </c>
      <c r="E105" s="127">
        <v>18000</v>
      </c>
      <c r="F105" s="83">
        <f t="shared" si="23"/>
        <v>18000</v>
      </c>
      <c r="G105" s="128">
        <v>2700</v>
      </c>
      <c r="H105" s="76">
        <f t="shared" si="24"/>
        <v>2700</v>
      </c>
      <c r="I105" s="76">
        <f t="shared" si="25"/>
        <v>20700</v>
      </c>
      <c r="J105" s="84">
        <f t="shared" si="26"/>
        <v>23040</v>
      </c>
      <c r="K105" s="83">
        <f t="shared" si="27"/>
        <v>23040</v>
      </c>
      <c r="L105" s="76">
        <f t="shared" si="28"/>
        <v>3780</v>
      </c>
      <c r="M105" s="76">
        <f t="shared" si="29"/>
        <v>3780</v>
      </c>
      <c r="N105" s="103">
        <f t="shared" si="30"/>
        <v>26820</v>
      </c>
      <c r="O105" s="143"/>
    </row>
    <row r="106" spans="1:15" s="133" customFormat="1" ht="20.100000000000001" customHeight="1">
      <c r="A106" s="113"/>
      <c r="B106" s="131" t="s">
        <v>142</v>
      </c>
      <c r="C106" s="134"/>
      <c r="D106" s="134"/>
      <c r="E106" s="135"/>
      <c r="F106" s="117">
        <f t="shared" si="23"/>
        <v>0</v>
      </c>
      <c r="G106" s="136"/>
      <c r="H106" s="118">
        <f t="shared" si="24"/>
        <v>0</v>
      </c>
      <c r="I106" s="118">
        <f t="shared" si="25"/>
        <v>0</v>
      </c>
      <c r="J106" s="84">
        <f t="shared" si="26"/>
        <v>0</v>
      </c>
      <c r="K106" s="83">
        <f t="shared" si="27"/>
        <v>0</v>
      </c>
      <c r="L106" s="76">
        <f t="shared" si="28"/>
        <v>0</v>
      </c>
      <c r="M106" s="76">
        <f t="shared" si="29"/>
        <v>0</v>
      </c>
      <c r="N106" s="103">
        <f t="shared" si="30"/>
        <v>0</v>
      </c>
      <c r="O106" s="145"/>
    </row>
    <row r="107" spans="1:15" s="129" customFormat="1" ht="20.100000000000001" customHeight="1">
      <c r="A107" s="98" t="s">
        <v>88</v>
      </c>
      <c r="B107" s="125" t="s">
        <v>134</v>
      </c>
      <c r="C107" s="126">
        <v>1</v>
      </c>
      <c r="D107" s="126" t="s">
        <v>113</v>
      </c>
      <c r="E107" s="127">
        <v>16500</v>
      </c>
      <c r="F107" s="83">
        <f t="shared" si="23"/>
        <v>16500</v>
      </c>
      <c r="G107" s="128">
        <v>2475</v>
      </c>
      <c r="H107" s="76">
        <f t="shared" si="24"/>
        <v>2475</v>
      </c>
      <c r="I107" s="76">
        <f t="shared" si="25"/>
        <v>18975</v>
      </c>
      <c r="J107" s="84">
        <f t="shared" si="26"/>
        <v>21120</v>
      </c>
      <c r="K107" s="83">
        <f t="shared" si="27"/>
        <v>21120</v>
      </c>
      <c r="L107" s="76">
        <f t="shared" si="28"/>
        <v>3465</v>
      </c>
      <c r="M107" s="76">
        <f t="shared" si="29"/>
        <v>3465</v>
      </c>
      <c r="N107" s="103">
        <f t="shared" si="30"/>
        <v>24585</v>
      </c>
      <c r="O107" s="143"/>
    </row>
    <row r="108" spans="1:15" s="129" customFormat="1" ht="20.100000000000001" customHeight="1">
      <c r="A108" s="98" t="s">
        <v>144</v>
      </c>
      <c r="B108" s="125" t="s">
        <v>143</v>
      </c>
      <c r="C108" s="126">
        <v>125</v>
      </c>
      <c r="D108" s="126" t="s">
        <v>115</v>
      </c>
      <c r="E108" s="127">
        <v>180</v>
      </c>
      <c r="F108" s="83">
        <f t="shared" si="23"/>
        <v>22500</v>
      </c>
      <c r="G108" s="128">
        <v>27</v>
      </c>
      <c r="H108" s="76">
        <f t="shared" si="24"/>
        <v>3375</v>
      </c>
      <c r="I108" s="76">
        <f t="shared" si="25"/>
        <v>25875</v>
      </c>
      <c r="J108" s="84">
        <f t="shared" si="26"/>
        <v>230.4</v>
      </c>
      <c r="K108" s="83">
        <f t="shared" si="27"/>
        <v>28800</v>
      </c>
      <c r="L108" s="76">
        <f t="shared" si="28"/>
        <v>37.799999999999997</v>
      </c>
      <c r="M108" s="76">
        <f t="shared" si="29"/>
        <v>4725</v>
      </c>
      <c r="N108" s="103">
        <f t="shared" si="30"/>
        <v>33525</v>
      </c>
      <c r="O108" s="143"/>
    </row>
    <row r="109" spans="1:15" s="129" customFormat="1" ht="20.100000000000001" customHeight="1">
      <c r="A109" s="98" t="s">
        <v>93</v>
      </c>
      <c r="B109" s="125" t="s">
        <v>116</v>
      </c>
      <c r="C109" s="126">
        <v>70</v>
      </c>
      <c r="D109" s="126" t="s">
        <v>115</v>
      </c>
      <c r="E109" s="127">
        <v>68</v>
      </c>
      <c r="F109" s="83">
        <f t="shared" si="23"/>
        <v>4760</v>
      </c>
      <c r="G109" s="128">
        <v>10.199999999999999</v>
      </c>
      <c r="H109" s="76">
        <f t="shared" si="24"/>
        <v>714</v>
      </c>
      <c r="I109" s="76">
        <f t="shared" si="25"/>
        <v>5474</v>
      </c>
      <c r="J109" s="84">
        <f t="shared" si="26"/>
        <v>87.04</v>
      </c>
      <c r="K109" s="83">
        <f t="shared" si="27"/>
        <v>6092.8</v>
      </c>
      <c r="L109" s="76">
        <f t="shared" si="28"/>
        <v>14.279999999999998</v>
      </c>
      <c r="M109" s="76">
        <f t="shared" si="29"/>
        <v>999.5999999999998</v>
      </c>
      <c r="N109" s="103">
        <f t="shared" si="30"/>
        <v>7092.4</v>
      </c>
      <c r="O109" s="143"/>
    </row>
    <row r="110" spans="1:15" s="129" customFormat="1" ht="20.100000000000001" customHeight="1">
      <c r="A110" s="98" t="s">
        <v>94</v>
      </c>
      <c r="B110" s="125" t="s">
        <v>117</v>
      </c>
      <c r="C110" s="126">
        <v>1</v>
      </c>
      <c r="D110" s="126" t="s">
        <v>118</v>
      </c>
      <c r="E110" s="127">
        <v>4950</v>
      </c>
      <c r="F110" s="83">
        <f t="shared" si="23"/>
        <v>4950</v>
      </c>
      <c r="G110" s="128">
        <v>742.5</v>
      </c>
      <c r="H110" s="76">
        <f t="shared" si="24"/>
        <v>742.5</v>
      </c>
      <c r="I110" s="76">
        <f t="shared" si="25"/>
        <v>5692.5</v>
      </c>
      <c r="J110" s="84">
        <f t="shared" si="26"/>
        <v>6336</v>
      </c>
      <c r="K110" s="83">
        <f t="shared" si="27"/>
        <v>6336</v>
      </c>
      <c r="L110" s="76">
        <f t="shared" si="28"/>
        <v>1039.5</v>
      </c>
      <c r="M110" s="76">
        <f t="shared" si="29"/>
        <v>1039.5</v>
      </c>
      <c r="N110" s="103">
        <f t="shared" si="30"/>
        <v>7375.5</v>
      </c>
      <c r="O110" s="143"/>
    </row>
    <row r="111" spans="1:15" s="129" customFormat="1" ht="20.100000000000001" customHeight="1">
      <c r="A111" s="122" t="s">
        <v>95</v>
      </c>
      <c r="B111" s="125" t="s">
        <v>119</v>
      </c>
      <c r="C111" s="126">
        <v>23</v>
      </c>
      <c r="D111" s="126" t="s">
        <v>120</v>
      </c>
      <c r="E111" s="127">
        <v>1066</v>
      </c>
      <c r="F111" s="83">
        <f t="shared" si="23"/>
        <v>24518</v>
      </c>
      <c r="G111" s="128">
        <v>159.9</v>
      </c>
      <c r="H111" s="76">
        <f t="shared" si="24"/>
        <v>3677.7000000000003</v>
      </c>
      <c r="I111" s="76">
        <f t="shared" si="25"/>
        <v>28195.7</v>
      </c>
      <c r="J111" s="84">
        <f t="shared" si="26"/>
        <v>1364.48</v>
      </c>
      <c r="K111" s="83">
        <f t="shared" si="27"/>
        <v>31383.040000000001</v>
      </c>
      <c r="L111" s="76">
        <f t="shared" si="28"/>
        <v>223.85999999999999</v>
      </c>
      <c r="M111" s="76">
        <f t="shared" si="29"/>
        <v>5148.78</v>
      </c>
      <c r="N111" s="103">
        <f t="shared" si="30"/>
        <v>36531.82</v>
      </c>
      <c r="O111" s="143"/>
    </row>
    <row r="112" spans="1:15" s="129" customFormat="1" ht="20.100000000000001" customHeight="1">
      <c r="A112" s="98" t="s">
        <v>96</v>
      </c>
      <c r="B112" s="125" t="s">
        <v>121</v>
      </c>
      <c r="C112" s="126">
        <v>18</v>
      </c>
      <c r="D112" s="126" t="s">
        <v>120</v>
      </c>
      <c r="E112" s="127">
        <v>567</v>
      </c>
      <c r="F112" s="83">
        <f t="shared" si="23"/>
        <v>10206</v>
      </c>
      <c r="G112" s="128">
        <v>85.05</v>
      </c>
      <c r="H112" s="76">
        <f t="shared" si="24"/>
        <v>1530.8999999999999</v>
      </c>
      <c r="I112" s="76">
        <f t="shared" si="25"/>
        <v>11736.9</v>
      </c>
      <c r="J112" s="84">
        <f t="shared" si="26"/>
        <v>725.76</v>
      </c>
      <c r="K112" s="83">
        <f t="shared" si="27"/>
        <v>13063.68</v>
      </c>
      <c r="L112" s="76">
        <f t="shared" si="28"/>
        <v>119.07000000000001</v>
      </c>
      <c r="M112" s="76">
        <f t="shared" si="29"/>
        <v>2143.2600000000002</v>
      </c>
      <c r="N112" s="103">
        <f t="shared" si="30"/>
        <v>15206.94</v>
      </c>
      <c r="O112" s="143"/>
    </row>
    <row r="113" spans="1:15" s="129" customFormat="1" ht="20.100000000000001" customHeight="1">
      <c r="A113" s="98" t="s">
        <v>89</v>
      </c>
      <c r="B113" s="125" t="s">
        <v>122</v>
      </c>
      <c r="C113" s="126">
        <v>3</v>
      </c>
      <c r="D113" s="126" t="s">
        <v>115</v>
      </c>
      <c r="E113" s="127">
        <v>221</v>
      </c>
      <c r="F113" s="83">
        <f t="shared" si="23"/>
        <v>663</v>
      </c>
      <c r="G113" s="128">
        <v>33.15</v>
      </c>
      <c r="H113" s="76">
        <f t="shared" si="24"/>
        <v>99.449999999999989</v>
      </c>
      <c r="I113" s="76">
        <f t="shared" si="25"/>
        <v>762.45</v>
      </c>
      <c r="J113" s="84">
        <f t="shared" si="26"/>
        <v>282.88</v>
      </c>
      <c r="K113" s="83">
        <f t="shared" si="27"/>
        <v>848.64</v>
      </c>
      <c r="L113" s="76">
        <f t="shared" si="28"/>
        <v>46.41</v>
      </c>
      <c r="M113" s="76">
        <f t="shared" si="29"/>
        <v>139.22999999999999</v>
      </c>
      <c r="N113" s="103">
        <f t="shared" si="30"/>
        <v>987.87</v>
      </c>
      <c r="O113" s="143"/>
    </row>
    <row r="114" spans="1:15" s="129" customFormat="1" ht="20.100000000000001" customHeight="1">
      <c r="A114" s="98" t="s">
        <v>97</v>
      </c>
      <c r="B114" s="125" t="s">
        <v>123</v>
      </c>
      <c r="C114" s="126">
        <v>4</v>
      </c>
      <c r="D114" s="126" t="s">
        <v>120</v>
      </c>
      <c r="E114" s="127">
        <v>119</v>
      </c>
      <c r="F114" s="83">
        <f t="shared" si="23"/>
        <v>476</v>
      </c>
      <c r="G114" s="128">
        <v>17.849999999999998</v>
      </c>
      <c r="H114" s="76">
        <f t="shared" si="24"/>
        <v>71.399999999999991</v>
      </c>
      <c r="I114" s="76">
        <f t="shared" si="25"/>
        <v>547.4</v>
      </c>
      <c r="J114" s="84">
        <f t="shared" si="26"/>
        <v>152.32</v>
      </c>
      <c r="K114" s="83">
        <f t="shared" si="27"/>
        <v>609.28</v>
      </c>
      <c r="L114" s="76">
        <f t="shared" si="28"/>
        <v>24.99</v>
      </c>
      <c r="M114" s="76">
        <f t="shared" si="29"/>
        <v>99.96</v>
      </c>
      <c r="N114" s="103">
        <f t="shared" si="30"/>
        <v>709.24</v>
      </c>
      <c r="O114" s="143"/>
    </row>
    <row r="115" spans="1:15" s="129" customFormat="1" ht="20.100000000000001" customHeight="1">
      <c r="A115" s="98" t="s">
        <v>98</v>
      </c>
      <c r="B115" s="125" t="s">
        <v>136</v>
      </c>
      <c r="C115" s="126">
        <v>9</v>
      </c>
      <c r="D115" s="126" t="s">
        <v>120</v>
      </c>
      <c r="E115" s="127">
        <v>95</v>
      </c>
      <c r="F115" s="83">
        <f t="shared" si="23"/>
        <v>855</v>
      </c>
      <c r="G115" s="128">
        <v>14.25</v>
      </c>
      <c r="H115" s="76">
        <f t="shared" si="24"/>
        <v>128.25</v>
      </c>
      <c r="I115" s="76">
        <f t="shared" si="25"/>
        <v>983.25</v>
      </c>
      <c r="J115" s="84">
        <f t="shared" si="26"/>
        <v>121.6</v>
      </c>
      <c r="K115" s="83">
        <f t="shared" si="27"/>
        <v>1094.3999999999999</v>
      </c>
      <c r="L115" s="76">
        <f t="shared" si="28"/>
        <v>19.95</v>
      </c>
      <c r="M115" s="76">
        <f t="shared" si="29"/>
        <v>179.54999999999998</v>
      </c>
      <c r="N115" s="103">
        <f t="shared" si="30"/>
        <v>1273.9499999999998</v>
      </c>
      <c r="O115" s="143"/>
    </row>
    <row r="116" spans="1:15" s="129" customFormat="1" ht="20.100000000000001" customHeight="1">
      <c r="A116" s="98" t="s">
        <v>99</v>
      </c>
      <c r="B116" s="125" t="s">
        <v>125</v>
      </c>
      <c r="C116" s="126">
        <v>4</v>
      </c>
      <c r="D116" s="126" t="s">
        <v>120</v>
      </c>
      <c r="E116" s="127">
        <v>35</v>
      </c>
      <c r="F116" s="83">
        <f t="shared" si="23"/>
        <v>140</v>
      </c>
      <c r="G116" s="128">
        <v>5.25</v>
      </c>
      <c r="H116" s="76">
        <f t="shared" si="24"/>
        <v>21</v>
      </c>
      <c r="I116" s="76">
        <f t="shared" si="25"/>
        <v>161</v>
      </c>
      <c r="J116" s="84">
        <f t="shared" si="26"/>
        <v>44.8</v>
      </c>
      <c r="K116" s="83">
        <f t="shared" si="27"/>
        <v>179.2</v>
      </c>
      <c r="L116" s="76">
        <f t="shared" si="28"/>
        <v>7.35</v>
      </c>
      <c r="M116" s="76">
        <f t="shared" si="29"/>
        <v>29.4</v>
      </c>
      <c r="N116" s="103">
        <f t="shared" si="30"/>
        <v>208.6</v>
      </c>
      <c r="O116" s="143"/>
    </row>
    <row r="117" spans="1:15" s="129" customFormat="1" ht="20.100000000000001" customHeight="1">
      <c r="A117" s="98" t="s">
        <v>100</v>
      </c>
      <c r="B117" s="125" t="s">
        <v>126</v>
      </c>
      <c r="C117" s="126">
        <v>1</v>
      </c>
      <c r="D117" s="126" t="s">
        <v>13</v>
      </c>
      <c r="E117" s="127">
        <v>15000</v>
      </c>
      <c r="F117" s="83">
        <f t="shared" si="23"/>
        <v>15000</v>
      </c>
      <c r="G117" s="128">
        <v>2250</v>
      </c>
      <c r="H117" s="76">
        <f t="shared" si="24"/>
        <v>2250</v>
      </c>
      <c r="I117" s="76">
        <f t="shared" si="25"/>
        <v>17250</v>
      </c>
      <c r="J117" s="84">
        <f t="shared" si="26"/>
        <v>19200</v>
      </c>
      <c r="K117" s="83">
        <f t="shared" si="27"/>
        <v>19200</v>
      </c>
      <c r="L117" s="76">
        <f t="shared" si="28"/>
        <v>3150</v>
      </c>
      <c r="M117" s="76">
        <f t="shared" si="29"/>
        <v>3150</v>
      </c>
      <c r="N117" s="103">
        <f t="shared" si="30"/>
        <v>22350</v>
      </c>
      <c r="O117" s="143"/>
    </row>
    <row r="118" spans="1:15" s="2" customFormat="1" ht="20.100000000000001" customHeight="1">
      <c r="A118" s="147"/>
      <c r="B118" s="204" t="s">
        <v>146</v>
      </c>
      <c r="C118" s="204"/>
      <c r="D118" s="204"/>
      <c r="E118" s="148"/>
      <c r="F118" s="149"/>
      <c r="G118" s="150"/>
      <c r="H118" s="150"/>
      <c r="I118" s="161">
        <f>SUM(I35:I117)</f>
        <v>889497.40000000014</v>
      </c>
      <c r="J118" s="162"/>
      <c r="K118" s="149"/>
      <c r="L118" s="150"/>
      <c r="M118" s="150"/>
      <c r="N118" s="163">
        <f>SUM(N35:N117)</f>
        <v>1152479.24</v>
      </c>
    </row>
    <row r="119" spans="1:15" s="121" customFormat="1" ht="20.100000000000001" customHeight="1">
      <c r="A119" s="113" t="s">
        <v>88</v>
      </c>
      <c r="B119" s="151" t="s">
        <v>147</v>
      </c>
      <c r="C119" s="205">
        <v>1</v>
      </c>
      <c r="D119" s="186" t="s">
        <v>154</v>
      </c>
      <c r="E119" s="182">
        <v>114000</v>
      </c>
      <c r="F119" s="183">
        <f t="shared" si="23"/>
        <v>114000</v>
      </c>
      <c r="G119" s="181">
        <v>34200</v>
      </c>
      <c r="H119" s="181">
        <f>G119*C119</f>
        <v>34200</v>
      </c>
      <c r="I119" s="181">
        <f>H119+F119</f>
        <v>148200</v>
      </c>
      <c r="J119" s="185">
        <f>E119*$H$6/$I$6</f>
        <v>145920</v>
      </c>
      <c r="K119" s="185">
        <f>J119*C119</f>
        <v>145920</v>
      </c>
      <c r="L119" s="185">
        <f>G119*$H$7/$I$6</f>
        <v>47880</v>
      </c>
      <c r="M119" s="185">
        <f>L119*C119</f>
        <v>47880</v>
      </c>
      <c r="N119" s="187">
        <f>M119+K119</f>
        <v>193800</v>
      </c>
    </row>
    <row r="120" spans="1:15" ht="20.100000000000001" customHeight="1">
      <c r="A120" s="98"/>
      <c r="B120" s="152" t="s">
        <v>148</v>
      </c>
      <c r="C120" s="205"/>
      <c r="D120" s="186"/>
      <c r="E120" s="182"/>
      <c r="F120" s="183"/>
      <c r="G120" s="181"/>
      <c r="H120" s="181"/>
      <c r="I120" s="181"/>
      <c r="J120" s="186"/>
      <c r="K120" s="186"/>
      <c r="L120" s="186"/>
      <c r="M120" s="186"/>
      <c r="N120" s="188"/>
    </row>
    <row r="121" spans="1:15" ht="20.100000000000001" customHeight="1">
      <c r="A121" s="98"/>
      <c r="B121" s="152" t="s">
        <v>149</v>
      </c>
      <c r="C121" s="205"/>
      <c r="D121" s="186"/>
      <c r="E121" s="182"/>
      <c r="F121" s="183"/>
      <c r="G121" s="181"/>
      <c r="H121" s="181"/>
      <c r="I121" s="181"/>
      <c r="J121" s="186"/>
      <c r="K121" s="186"/>
      <c r="L121" s="186"/>
      <c r="M121" s="186"/>
      <c r="N121" s="188"/>
    </row>
    <row r="122" spans="1:15" ht="20.100000000000001" customHeight="1">
      <c r="A122" s="98"/>
      <c r="B122" s="152" t="s">
        <v>150</v>
      </c>
      <c r="C122" s="205"/>
      <c r="D122" s="186"/>
      <c r="E122" s="182"/>
      <c r="F122" s="183"/>
      <c r="G122" s="181"/>
      <c r="H122" s="181"/>
      <c r="I122" s="181"/>
      <c r="J122" s="186"/>
      <c r="K122" s="186"/>
      <c r="L122" s="186"/>
      <c r="M122" s="186"/>
      <c r="N122" s="188"/>
    </row>
    <row r="123" spans="1:15" ht="20.100000000000001" customHeight="1">
      <c r="A123" s="98"/>
      <c r="B123" s="152" t="s">
        <v>151</v>
      </c>
      <c r="C123" s="205"/>
      <c r="D123" s="186"/>
      <c r="E123" s="182"/>
      <c r="F123" s="183"/>
      <c r="G123" s="181"/>
      <c r="H123" s="181"/>
      <c r="I123" s="181"/>
      <c r="J123" s="186"/>
      <c r="K123" s="186"/>
      <c r="L123" s="186"/>
      <c r="M123" s="186"/>
      <c r="N123" s="188"/>
    </row>
    <row r="124" spans="1:15" ht="20.100000000000001" customHeight="1">
      <c r="A124" s="98"/>
      <c r="B124" s="152" t="s">
        <v>152</v>
      </c>
      <c r="C124" s="205"/>
      <c r="D124" s="186"/>
      <c r="E124" s="182"/>
      <c r="F124" s="183"/>
      <c r="G124" s="181"/>
      <c r="H124" s="181"/>
      <c r="I124" s="181"/>
      <c r="J124" s="186"/>
      <c r="K124" s="186"/>
      <c r="L124" s="186"/>
      <c r="M124" s="186"/>
      <c r="N124" s="188"/>
    </row>
    <row r="125" spans="1:15" ht="20.100000000000001" customHeight="1">
      <c r="A125" s="98"/>
      <c r="B125" s="152" t="s">
        <v>126</v>
      </c>
      <c r="C125" s="205"/>
      <c r="D125" s="186"/>
      <c r="E125" s="182"/>
      <c r="F125" s="183"/>
      <c r="G125" s="181"/>
      <c r="H125" s="181"/>
      <c r="I125" s="181"/>
      <c r="J125" s="186"/>
      <c r="K125" s="186"/>
      <c r="L125" s="186"/>
      <c r="M125" s="186"/>
      <c r="N125" s="188"/>
    </row>
    <row r="126" spans="1:15" ht="20.100000000000001" customHeight="1">
      <c r="A126" s="98"/>
      <c r="B126" s="152" t="s">
        <v>153</v>
      </c>
      <c r="C126" s="205"/>
      <c r="D126" s="186"/>
      <c r="E126" s="182"/>
      <c r="F126" s="183"/>
      <c r="G126" s="181"/>
      <c r="H126" s="181"/>
      <c r="I126" s="181"/>
      <c r="J126" s="186"/>
      <c r="K126" s="186"/>
      <c r="L126" s="186"/>
      <c r="M126" s="186"/>
      <c r="N126" s="188"/>
    </row>
    <row r="127" spans="1:15" s="141" customFormat="1" ht="20.100000000000001" customHeight="1">
      <c r="A127" s="140" t="s">
        <v>92</v>
      </c>
      <c r="B127" s="153" t="s">
        <v>127</v>
      </c>
      <c r="C127" s="184">
        <v>1</v>
      </c>
      <c r="D127" s="184" t="s">
        <v>154</v>
      </c>
      <c r="E127" s="184">
        <v>104400</v>
      </c>
      <c r="F127" s="183">
        <f t="shared" si="23"/>
        <v>104400</v>
      </c>
      <c r="G127" s="178">
        <v>31320</v>
      </c>
      <c r="H127" s="178">
        <f>G127*C127</f>
        <v>31320</v>
      </c>
      <c r="I127" s="178">
        <f>H127+F127</f>
        <v>135720</v>
      </c>
      <c r="J127" s="180">
        <f>E127*$H$6/$I$6</f>
        <v>133632</v>
      </c>
      <c r="K127" s="180">
        <f>J127*C127</f>
        <v>133632</v>
      </c>
      <c r="L127" s="178">
        <f>G127*$H$7/$I$6</f>
        <v>43848</v>
      </c>
      <c r="M127" s="178">
        <f>L127*C127</f>
        <v>43848</v>
      </c>
      <c r="N127" s="179">
        <f>M127+K127</f>
        <v>177480</v>
      </c>
    </row>
    <row r="128" spans="1:15" s="51" customFormat="1" ht="20.100000000000001" customHeight="1">
      <c r="A128" s="139"/>
      <c r="B128" s="154" t="s">
        <v>155</v>
      </c>
      <c r="C128" s="184"/>
      <c r="D128" s="184"/>
      <c r="E128" s="184"/>
      <c r="F128" s="183"/>
      <c r="G128" s="178"/>
      <c r="H128" s="178"/>
      <c r="I128" s="178"/>
      <c r="J128" s="180"/>
      <c r="K128" s="180"/>
      <c r="L128" s="178"/>
      <c r="M128" s="178"/>
      <c r="N128" s="179"/>
    </row>
    <row r="129" spans="1:14" s="51" customFormat="1" ht="20.100000000000001" customHeight="1">
      <c r="A129" s="139"/>
      <c r="B129" s="155" t="s">
        <v>156</v>
      </c>
      <c r="C129" s="184"/>
      <c r="D129" s="184"/>
      <c r="E129" s="184"/>
      <c r="F129" s="183"/>
      <c r="G129" s="178"/>
      <c r="H129" s="178"/>
      <c r="I129" s="178"/>
      <c r="J129" s="180"/>
      <c r="K129" s="180"/>
      <c r="L129" s="178"/>
      <c r="M129" s="178"/>
      <c r="N129" s="179"/>
    </row>
    <row r="130" spans="1:14" s="51" customFormat="1" ht="20.100000000000001" customHeight="1">
      <c r="A130" s="139"/>
      <c r="B130" s="155" t="s">
        <v>157</v>
      </c>
      <c r="C130" s="184"/>
      <c r="D130" s="184"/>
      <c r="E130" s="184"/>
      <c r="F130" s="183"/>
      <c r="G130" s="178"/>
      <c r="H130" s="178"/>
      <c r="I130" s="178"/>
      <c r="J130" s="180"/>
      <c r="K130" s="180"/>
      <c r="L130" s="178"/>
      <c r="M130" s="178"/>
      <c r="N130" s="179"/>
    </row>
    <row r="131" spans="1:14" s="51" customFormat="1" ht="20.100000000000001" customHeight="1">
      <c r="A131" s="139"/>
      <c r="B131" s="155" t="s">
        <v>158</v>
      </c>
      <c r="C131" s="184"/>
      <c r="D131" s="184"/>
      <c r="E131" s="184"/>
      <c r="F131" s="183"/>
      <c r="G131" s="178"/>
      <c r="H131" s="178"/>
      <c r="I131" s="178"/>
      <c r="J131" s="180"/>
      <c r="K131" s="180"/>
      <c r="L131" s="178"/>
      <c r="M131" s="178"/>
      <c r="N131" s="179"/>
    </row>
    <row r="132" spans="1:14" s="51" customFormat="1" ht="20.100000000000001" customHeight="1">
      <c r="A132" s="139"/>
      <c r="B132" s="155" t="s">
        <v>159</v>
      </c>
      <c r="C132" s="184"/>
      <c r="D132" s="184"/>
      <c r="E132" s="184"/>
      <c r="F132" s="183"/>
      <c r="G132" s="178"/>
      <c r="H132" s="178"/>
      <c r="I132" s="178"/>
      <c r="J132" s="180"/>
      <c r="K132" s="180"/>
      <c r="L132" s="178"/>
      <c r="M132" s="178"/>
      <c r="N132" s="179"/>
    </row>
    <row r="133" spans="1:14" s="51" customFormat="1" ht="20.100000000000001" customHeight="1">
      <c r="A133" s="139"/>
      <c r="B133" s="155" t="s">
        <v>160</v>
      </c>
      <c r="C133" s="184"/>
      <c r="D133" s="184"/>
      <c r="E133" s="184"/>
      <c r="F133" s="183"/>
      <c r="G133" s="178"/>
      <c r="H133" s="178"/>
      <c r="I133" s="178"/>
      <c r="J133" s="180"/>
      <c r="K133" s="180"/>
      <c r="L133" s="178"/>
      <c r="M133" s="178"/>
      <c r="N133" s="179"/>
    </row>
    <row r="134" spans="1:14" s="51" customFormat="1" ht="20.100000000000001" customHeight="1">
      <c r="A134" s="139"/>
      <c r="B134" s="155" t="s">
        <v>161</v>
      </c>
      <c r="C134" s="184"/>
      <c r="D134" s="184"/>
      <c r="E134" s="184"/>
      <c r="F134" s="183"/>
      <c r="G134" s="178"/>
      <c r="H134" s="178"/>
      <c r="I134" s="178"/>
      <c r="J134" s="180"/>
      <c r="K134" s="180"/>
      <c r="L134" s="178"/>
      <c r="M134" s="178"/>
      <c r="N134" s="179"/>
    </row>
    <row r="135" spans="1:14" s="51" customFormat="1" ht="20.100000000000001" customHeight="1">
      <c r="A135" s="139"/>
      <c r="B135" s="155" t="s">
        <v>162</v>
      </c>
      <c r="C135" s="184"/>
      <c r="D135" s="184"/>
      <c r="E135" s="184"/>
      <c r="F135" s="183"/>
      <c r="G135" s="178"/>
      <c r="H135" s="178"/>
      <c r="I135" s="178"/>
      <c r="J135" s="180"/>
      <c r="K135" s="180"/>
      <c r="L135" s="178"/>
      <c r="M135" s="178"/>
      <c r="N135" s="179"/>
    </row>
    <row r="136" spans="1:14" s="121" customFormat="1" ht="20.100000000000001" customHeight="1">
      <c r="A136" s="113" t="s">
        <v>93</v>
      </c>
      <c r="B136" s="153" t="s">
        <v>163</v>
      </c>
      <c r="C136" s="184">
        <v>1</v>
      </c>
      <c r="D136" s="184" t="s">
        <v>154</v>
      </c>
      <c r="E136" s="182">
        <v>108000</v>
      </c>
      <c r="F136" s="183">
        <f t="shared" si="23"/>
        <v>108000</v>
      </c>
      <c r="G136" s="181">
        <v>32400</v>
      </c>
      <c r="H136" s="178">
        <f>G136*C136</f>
        <v>32400</v>
      </c>
      <c r="I136" s="178">
        <f>H136+F136</f>
        <v>140400</v>
      </c>
      <c r="J136" s="180">
        <f>E136*$H$6/$I$6</f>
        <v>138240</v>
      </c>
      <c r="K136" s="180">
        <f>J136*C136</f>
        <v>138240</v>
      </c>
      <c r="L136" s="178">
        <f>G136*$H$7/$I$6</f>
        <v>45360</v>
      </c>
      <c r="M136" s="178">
        <f>L136*C136</f>
        <v>45360</v>
      </c>
      <c r="N136" s="179">
        <f>M136+K136</f>
        <v>183600</v>
      </c>
    </row>
    <row r="137" spans="1:14" ht="20.100000000000001" customHeight="1">
      <c r="A137" s="98"/>
      <c r="B137" s="154" t="s">
        <v>155</v>
      </c>
      <c r="C137" s="184"/>
      <c r="D137" s="184"/>
      <c r="E137" s="182"/>
      <c r="F137" s="183"/>
      <c r="G137" s="181"/>
      <c r="H137" s="178"/>
      <c r="I137" s="178"/>
      <c r="J137" s="180"/>
      <c r="K137" s="180"/>
      <c r="L137" s="178"/>
      <c r="M137" s="178"/>
      <c r="N137" s="179"/>
    </row>
    <row r="138" spans="1:14" ht="20.100000000000001" customHeight="1">
      <c r="A138" s="98"/>
      <c r="B138" s="155" t="s">
        <v>156</v>
      </c>
      <c r="C138" s="184"/>
      <c r="D138" s="184"/>
      <c r="E138" s="182"/>
      <c r="F138" s="183"/>
      <c r="G138" s="181"/>
      <c r="H138" s="178"/>
      <c r="I138" s="178"/>
      <c r="J138" s="180"/>
      <c r="K138" s="180"/>
      <c r="L138" s="178"/>
      <c r="M138" s="178"/>
      <c r="N138" s="179"/>
    </row>
    <row r="139" spans="1:14" ht="20.100000000000001" customHeight="1">
      <c r="A139" s="98"/>
      <c r="B139" s="155" t="s">
        <v>157</v>
      </c>
      <c r="C139" s="184"/>
      <c r="D139" s="184"/>
      <c r="E139" s="182"/>
      <c r="F139" s="183"/>
      <c r="G139" s="181"/>
      <c r="H139" s="178"/>
      <c r="I139" s="178"/>
      <c r="J139" s="180"/>
      <c r="K139" s="180"/>
      <c r="L139" s="178"/>
      <c r="M139" s="178"/>
      <c r="N139" s="179"/>
    </row>
    <row r="140" spans="1:14" ht="20.100000000000001" customHeight="1">
      <c r="A140" s="98"/>
      <c r="B140" s="155" t="s">
        <v>150</v>
      </c>
      <c r="C140" s="184"/>
      <c r="D140" s="184"/>
      <c r="E140" s="182"/>
      <c r="F140" s="183"/>
      <c r="G140" s="181"/>
      <c r="H140" s="178"/>
      <c r="I140" s="178"/>
      <c r="J140" s="180"/>
      <c r="K140" s="180"/>
      <c r="L140" s="178"/>
      <c r="M140" s="178"/>
      <c r="N140" s="179"/>
    </row>
    <row r="141" spans="1:14" ht="20.100000000000001" customHeight="1">
      <c r="A141" s="98"/>
      <c r="B141" s="155" t="s">
        <v>151</v>
      </c>
      <c r="C141" s="184"/>
      <c r="D141" s="184"/>
      <c r="E141" s="182"/>
      <c r="F141" s="183"/>
      <c r="G141" s="181"/>
      <c r="H141" s="178"/>
      <c r="I141" s="178"/>
      <c r="J141" s="180"/>
      <c r="K141" s="180"/>
      <c r="L141" s="178"/>
      <c r="M141" s="178"/>
      <c r="N141" s="179"/>
    </row>
    <row r="142" spans="1:14" ht="20.100000000000001" customHeight="1">
      <c r="A142" s="98"/>
      <c r="B142" s="155" t="s">
        <v>152</v>
      </c>
      <c r="C142" s="184"/>
      <c r="D142" s="184"/>
      <c r="E142" s="182"/>
      <c r="F142" s="183"/>
      <c r="G142" s="181"/>
      <c r="H142" s="178"/>
      <c r="I142" s="178"/>
      <c r="J142" s="180"/>
      <c r="K142" s="180"/>
      <c r="L142" s="178"/>
      <c r="M142" s="178"/>
      <c r="N142" s="179"/>
    </row>
    <row r="143" spans="1:14" ht="20.100000000000001" customHeight="1">
      <c r="A143" s="98"/>
      <c r="B143" s="155" t="s">
        <v>126</v>
      </c>
      <c r="C143" s="184"/>
      <c r="D143" s="184"/>
      <c r="E143" s="182"/>
      <c r="F143" s="183"/>
      <c r="G143" s="181"/>
      <c r="H143" s="178"/>
      <c r="I143" s="178"/>
      <c r="J143" s="180"/>
      <c r="K143" s="180"/>
      <c r="L143" s="178"/>
      <c r="M143" s="178"/>
      <c r="N143" s="179"/>
    </row>
    <row r="144" spans="1:14" ht="20.100000000000001" customHeight="1">
      <c r="A144" s="98"/>
      <c r="B144" s="155" t="s">
        <v>153</v>
      </c>
      <c r="C144" s="184"/>
      <c r="D144" s="184"/>
      <c r="E144" s="182"/>
      <c r="F144" s="183"/>
      <c r="G144" s="181"/>
      <c r="H144" s="178"/>
      <c r="I144" s="178"/>
      <c r="J144" s="180"/>
      <c r="K144" s="180"/>
      <c r="L144" s="178"/>
      <c r="M144" s="178"/>
      <c r="N144" s="179"/>
    </row>
    <row r="145" spans="1:14" s="121" customFormat="1" ht="20.100000000000001" customHeight="1">
      <c r="A145" s="113" t="s">
        <v>94</v>
      </c>
      <c r="B145" s="153" t="s">
        <v>137</v>
      </c>
      <c r="C145" s="184">
        <v>1</v>
      </c>
      <c r="D145" s="184" t="s">
        <v>154</v>
      </c>
      <c r="E145" s="182">
        <v>96000</v>
      </c>
      <c r="F145" s="183">
        <f t="shared" ref="F145" si="31">E145*C145</f>
        <v>96000</v>
      </c>
      <c r="G145" s="181">
        <v>28800</v>
      </c>
      <c r="H145" s="178">
        <f>G145*C145</f>
        <v>28800</v>
      </c>
      <c r="I145" s="178">
        <f>H145+F145</f>
        <v>124800</v>
      </c>
      <c r="J145" s="180">
        <f>E145*$H$6/$I$6</f>
        <v>122880</v>
      </c>
      <c r="K145" s="180">
        <f>J145*C145</f>
        <v>122880</v>
      </c>
      <c r="L145" s="178">
        <f>G145*$H$7/$I$6</f>
        <v>40320</v>
      </c>
      <c r="M145" s="178">
        <f>L145*C145</f>
        <v>40320</v>
      </c>
      <c r="N145" s="179">
        <f>M145+K145</f>
        <v>163200</v>
      </c>
    </row>
    <row r="146" spans="1:14" ht="20.100000000000001" customHeight="1">
      <c r="A146" s="98"/>
      <c r="B146" s="154" t="s">
        <v>155</v>
      </c>
      <c r="C146" s="184"/>
      <c r="D146" s="184"/>
      <c r="E146" s="182"/>
      <c r="F146" s="183"/>
      <c r="G146" s="181"/>
      <c r="H146" s="178"/>
      <c r="I146" s="178"/>
      <c r="J146" s="180"/>
      <c r="K146" s="180"/>
      <c r="L146" s="178"/>
      <c r="M146" s="178"/>
      <c r="N146" s="179"/>
    </row>
    <row r="147" spans="1:14" ht="20.100000000000001" customHeight="1">
      <c r="A147" s="98"/>
      <c r="B147" s="155" t="s">
        <v>156</v>
      </c>
      <c r="C147" s="184"/>
      <c r="D147" s="184"/>
      <c r="E147" s="182"/>
      <c r="F147" s="183"/>
      <c r="G147" s="181"/>
      <c r="H147" s="178"/>
      <c r="I147" s="178"/>
      <c r="J147" s="180"/>
      <c r="K147" s="180"/>
      <c r="L147" s="178"/>
      <c r="M147" s="178"/>
      <c r="N147" s="179"/>
    </row>
    <row r="148" spans="1:14" ht="20.100000000000001" customHeight="1">
      <c r="A148" s="98"/>
      <c r="B148" s="155" t="s">
        <v>157</v>
      </c>
      <c r="C148" s="184"/>
      <c r="D148" s="184"/>
      <c r="E148" s="182"/>
      <c r="F148" s="183"/>
      <c r="G148" s="181"/>
      <c r="H148" s="178"/>
      <c r="I148" s="178"/>
      <c r="J148" s="180"/>
      <c r="K148" s="180"/>
      <c r="L148" s="178"/>
      <c r="M148" s="178"/>
      <c r="N148" s="179"/>
    </row>
    <row r="149" spans="1:14" ht="20.100000000000001" customHeight="1">
      <c r="A149" s="98"/>
      <c r="B149" s="155" t="s">
        <v>158</v>
      </c>
      <c r="C149" s="184"/>
      <c r="D149" s="184"/>
      <c r="E149" s="182"/>
      <c r="F149" s="183"/>
      <c r="G149" s="181"/>
      <c r="H149" s="178"/>
      <c r="I149" s="178"/>
      <c r="J149" s="180"/>
      <c r="K149" s="180"/>
      <c r="L149" s="178"/>
      <c r="M149" s="178"/>
      <c r="N149" s="179"/>
    </row>
    <row r="150" spans="1:14" ht="20.100000000000001" customHeight="1">
      <c r="A150" s="98"/>
      <c r="B150" s="155" t="s">
        <v>159</v>
      </c>
      <c r="C150" s="184"/>
      <c r="D150" s="184"/>
      <c r="E150" s="182"/>
      <c r="F150" s="183"/>
      <c r="G150" s="181"/>
      <c r="H150" s="178"/>
      <c r="I150" s="178"/>
      <c r="J150" s="180"/>
      <c r="K150" s="180"/>
      <c r="L150" s="178"/>
      <c r="M150" s="178"/>
      <c r="N150" s="179"/>
    </row>
    <row r="151" spans="1:14" ht="20.100000000000001" customHeight="1">
      <c r="A151" s="98"/>
      <c r="B151" s="155" t="s">
        <v>160</v>
      </c>
      <c r="C151" s="184"/>
      <c r="D151" s="184"/>
      <c r="E151" s="182"/>
      <c r="F151" s="183"/>
      <c r="G151" s="181"/>
      <c r="H151" s="178"/>
      <c r="I151" s="178"/>
      <c r="J151" s="180"/>
      <c r="K151" s="180"/>
      <c r="L151" s="178"/>
      <c r="M151" s="178"/>
      <c r="N151" s="179"/>
    </row>
    <row r="152" spans="1:14" ht="20.100000000000001" customHeight="1">
      <c r="A152" s="98"/>
      <c r="B152" s="155" t="s">
        <v>161</v>
      </c>
      <c r="C152" s="184"/>
      <c r="D152" s="184"/>
      <c r="E152" s="182"/>
      <c r="F152" s="183"/>
      <c r="G152" s="181"/>
      <c r="H152" s="178"/>
      <c r="I152" s="178"/>
      <c r="J152" s="180"/>
      <c r="K152" s="180"/>
      <c r="L152" s="178"/>
      <c r="M152" s="178"/>
      <c r="N152" s="179"/>
    </row>
    <row r="153" spans="1:14" ht="20.100000000000001" customHeight="1">
      <c r="A153" s="98"/>
      <c r="B153" s="155" t="s">
        <v>162</v>
      </c>
      <c r="C153" s="184"/>
      <c r="D153" s="184"/>
      <c r="E153" s="182"/>
      <c r="F153" s="183"/>
      <c r="G153" s="181"/>
      <c r="H153" s="178"/>
      <c r="I153" s="178"/>
      <c r="J153" s="180"/>
      <c r="K153" s="180"/>
      <c r="L153" s="178"/>
      <c r="M153" s="178"/>
      <c r="N153" s="179"/>
    </row>
    <row r="154" spans="1:14" s="121" customFormat="1" ht="20.100000000000001" customHeight="1">
      <c r="A154" s="113" t="s">
        <v>95</v>
      </c>
      <c r="B154" s="153" t="s">
        <v>139</v>
      </c>
      <c r="C154" s="184">
        <v>1</v>
      </c>
      <c r="D154" s="184" t="s">
        <v>154</v>
      </c>
      <c r="E154" s="182">
        <v>104400</v>
      </c>
      <c r="F154" s="183">
        <f t="shared" ref="F154" si="32">E154*C154</f>
        <v>104400</v>
      </c>
      <c r="G154" s="181">
        <v>31320</v>
      </c>
      <c r="H154" s="181">
        <f>G154*C154</f>
        <v>31320</v>
      </c>
      <c r="I154" s="181">
        <f>H154+F154</f>
        <v>135720</v>
      </c>
      <c r="J154" s="180">
        <f>E154*$H$6/$I$6</f>
        <v>133632</v>
      </c>
      <c r="K154" s="180">
        <f>J154*C154</f>
        <v>133632</v>
      </c>
      <c r="L154" s="178">
        <f>G154*$H$7/$I$6</f>
        <v>43848</v>
      </c>
      <c r="M154" s="178">
        <f>L154*C154</f>
        <v>43848</v>
      </c>
      <c r="N154" s="179">
        <f>M154+K154</f>
        <v>177480</v>
      </c>
    </row>
    <row r="155" spans="1:14" ht="20.100000000000001" customHeight="1">
      <c r="A155" s="98"/>
      <c r="B155" s="154" t="s">
        <v>155</v>
      </c>
      <c r="C155" s="184"/>
      <c r="D155" s="184"/>
      <c r="E155" s="182"/>
      <c r="F155" s="183"/>
      <c r="G155" s="181"/>
      <c r="H155" s="181"/>
      <c r="I155" s="181"/>
      <c r="J155" s="180"/>
      <c r="K155" s="180"/>
      <c r="L155" s="178"/>
      <c r="M155" s="178"/>
      <c r="N155" s="179"/>
    </row>
    <row r="156" spans="1:14" ht="20.100000000000001" customHeight="1">
      <c r="A156" s="98"/>
      <c r="B156" s="155" t="s">
        <v>156</v>
      </c>
      <c r="C156" s="184"/>
      <c r="D156" s="184"/>
      <c r="E156" s="182"/>
      <c r="F156" s="183"/>
      <c r="G156" s="181"/>
      <c r="H156" s="181"/>
      <c r="I156" s="181"/>
      <c r="J156" s="180"/>
      <c r="K156" s="180"/>
      <c r="L156" s="178"/>
      <c r="M156" s="178"/>
      <c r="N156" s="179"/>
    </row>
    <row r="157" spans="1:14" ht="20.100000000000001" customHeight="1">
      <c r="A157" s="98"/>
      <c r="B157" s="155" t="s">
        <v>157</v>
      </c>
      <c r="C157" s="184"/>
      <c r="D157" s="184"/>
      <c r="E157" s="182"/>
      <c r="F157" s="183"/>
      <c r="G157" s="181"/>
      <c r="H157" s="181"/>
      <c r="I157" s="181"/>
      <c r="J157" s="180"/>
      <c r="K157" s="180"/>
      <c r="L157" s="178"/>
      <c r="M157" s="178"/>
      <c r="N157" s="179"/>
    </row>
    <row r="158" spans="1:14" ht="20.100000000000001" customHeight="1">
      <c r="A158" s="98"/>
      <c r="B158" s="155" t="s">
        <v>158</v>
      </c>
      <c r="C158" s="184"/>
      <c r="D158" s="184"/>
      <c r="E158" s="182"/>
      <c r="F158" s="183"/>
      <c r="G158" s="181"/>
      <c r="H158" s="181"/>
      <c r="I158" s="181"/>
      <c r="J158" s="180"/>
      <c r="K158" s="180"/>
      <c r="L158" s="178"/>
      <c r="M158" s="178"/>
      <c r="N158" s="179"/>
    </row>
    <row r="159" spans="1:14" ht="20.100000000000001" customHeight="1">
      <c r="A159" s="98"/>
      <c r="B159" s="155" t="s">
        <v>159</v>
      </c>
      <c r="C159" s="184"/>
      <c r="D159" s="184"/>
      <c r="E159" s="182"/>
      <c r="F159" s="183"/>
      <c r="G159" s="181"/>
      <c r="H159" s="181"/>
      <c r="I159" s="181"/>
      <c r="J159" s="180"/>
      <c r="K159" s="180"/>
      <c r="L159" s="178"/>
      <c r="M159" s="178"/>
      <c r="N159" s="179"/>
    </row>
    <row r="160" spans="1:14" ht="20.100000000000001" customHeight="1">
      <c r="A160" s="98"/>
      <c r="B160" s="155" t="s">
        <v>160</v>
      </c>
      <c r="C160" s="184"/>
      <c r="D160" s="184"/>
      <c r="E160" s="182"/>
      <c r="F160" s="183"/>
      <c r="G160" s="181"/>
      <c r="H160" s="181"/>
      <c r="I160" s="181"/>
      <c r="J160" s="180"/>
      <c r="K160" s="180"/>
      <c r="L160" s="178"/>
      <c r="M160" s="178"/>
      <c r="N160" s="179"/>
    </row>
    <row r="161" spans="1:14" ht="20.100000000000001" customHeight="1">
      <c r="A161" s="98"/>
      <c r="B161" s="155" t="s">
        <v>161</v>
      </c>
      <c r="C161" s="184"/>
      <c r="D161" s="184"/>
      <c r="E161" s="182"/>
      <c r="F161" s="183"/>
      <c r="G161" s="181"/>
      <c r="H161" s="181"/>
      <c r="I161" s="181"/>
      <c r="J161" s="180"/>
      <c r="K161" s="180"/>
      <c r="L161" s="178"/>
      <c r="M161" s="178"/>
      <c r="N161" s="179"/>
    </row>
    <row r="162" spans="1:14" ht="20.100000000000001" customHeight="1">
      <c r="A162" s="98"/>
      <c r="B162" s="155" t="s">
        <v>162</v>
      </c>
      <c r="C162" s="184"/>
      <c r="D162" s="184"/>
      <c r="E162" s="182"/>
      <c r="F162" s="183"/>
      <c r="G162" s="181"/>
      <c r="H162" s="181"/>
      <c r="I162" s="181"/>
      <c r="J162" s="180"/>
      <c r="K162" s="180"/>
      <c r="L162" s="178"/>
      <c r="M162" s="178"/>
      <c r="N162" s="179"/>
    </row>
    <row r="163" spans="1:14" s="121" customFormat="1" ht="20.100000000000001" customHeight="1">
      <c r="A163" s="113" t="s">
        <v>96</v>
      </c>
      <c r="B163" s="153" t="s">
        <v>141</v>
      </c>
      <c r="C163" s="184">
        <v>1</v>
      </c>
      <c r="D163" s="184" t="s">
        <v>154</v>
      </c>
      <c r="E163" s="182">
        <v>96000</v>
      </c>
      <c r="F163" s="183">
        <f t="shared" ref="F163" si="33">E163*C163</f>
        <v>96000</v>
      </c>
      <c r="G163" s="181">
        <v>28800</v>
      </c>
      <c r="H163" s="181">
        <f>G163*C163</f>
        <v>28800</v>
      </c>
      <c r="I163" s="181">
        <f>H163+F163</f>
        <v>124800</v>
      </c>
      <c r="J163" s="180">
        <f>E163*$H$6/$I$6</f>
        <v>122880</v>
      </c>
      <c r="K163" s="180">
        <f>J163*C163</f>
        <v>122880</v>
      </c>
      <c r="L163" s="178">
        <f>G163*$H$7/$I$6</f>
        <v>40320</v>
      </c>
      <c r="M163" s="178">
        <f>L163*C163</f>
        <v>40320</v>
      </c>
      <c r="N163" s="179">
        <f>M163+K163</f>
        <v>163200</v>
      </c>
    </row>
    <row r="164" spans="1:14" ht="20.100000000000001" customHeight="1">
      <c r="A164" s="98"/>
      <c r="B164" s="154" t="s">
        <v>155</v>
      </c>
      <c r="C164" s="184"/>
      <c r="D164" s="184"/>
      <c r="E164" s="182"/>
      <c r="F164" s="183"/>
      <c r="G164" s="181"/>
      <c r="H164" s="181"/>
      <c r="I164" s="181"/>
      <c r="J164" s="180"/>
      <c r="K164" s="180"/>
      <c r="L164" s="178"/>
      <c r="M164" s="178"/>
      <c r="N164" s="179"/>
    </row>
    <row r="165" spans="1:14" ht="20.100000000000001" customHeight="1">
      <c r="A165" s="98"/>
      <c r="B165" s="155" t="s">
        <v>156</v>
      </c>
      <c r="C165" s="184"/>
      <c r="D165" s="184"/>
      <c r="E165" s="182"/>
      <c r="F165" s="183"/>
      <c r="G165" s="181"/>
      <c r="H165" s="181"/>
      <c r="I165" s="181"/>
      <c r="J165" s="180"/>
      <c r="K165" s="180"/>
      <c r="L165" s="178"/>
      <c r="M165" s="178"/>
      <c r="N165" s="179"/>
    </row>
    <row r="166" spans="1:14" ht="20.100000000000001" customHeight="1">
      <c r="A166" s="98"/>
      <c r="B166" s="155" t="s">
        <v>157</v>
      </c>
      <c r="C166" s="184"/>
      <c r="D166" s="184"/>
      <c r="E166" s="182"/>
      <c r="F166" s="183"/>
      <c r="G166" s="181"/>
      <c r="H166" s="181"/>
      <c r="I166" s="181"/>
      <c r="J166" s="180"/>
      <c r="K166" s="180"/>
      <c r="L166" s="178"/>
      <c r="M166" s="178"/>
      <c r="N166" s="179"/>
    </row>
    <row r="167" spans="1:14" ht="20.100000000000001" customHeight="1">
      <c r="A167" s="98"/>
      <c r="B167" s="155" t="s">
        <v>158</v>
      </c>
      <c r="C167" s="184"/>
      <c r="D167" s="184"/>
      <c r="E167" s="182"/>
      <c r="F167" s="183"/>
      <c r="G167" s="181"/>
      <c r="H167" s="181"/>
      <c r="I167" s="181"/>
      <c r="J167" s="180"/>
      <c r="K167" s="180"/>
      <c r="L167" s="178"/>
      <c r="M167" s="178"/>
      <c r="N167" s="179"/>
    </row>
    <row r="168" spans="1:14" ht="20.100000000000001" customHeight="1">
      <c r="A168" s="98"/>
      <c r="B168" s="155" t="s">
        <v>159</v>
      </c>
      <c r="C168" s="184"/>
      <c r="D168" s="184"/>
      <c r="E168" s="182"/>
      <c r="F168" s="183"/>
      <c r="G168" s="181"/>
      <c r="H168" s="181"/>
      <c r="I168" s="181"/>
      <c r="J168" s="180"/>
      <c r="K168" s="180"/>
      <c r="L168" s="178"/>
      <c r="M168" s="178"/>
      <c r="N168" s="179"/>
    </row>
    <row r="169" spans="1:14" ht="20.100000000000001" customHeight="1">
      <c r="A169" s="98"/>
      <c r="B169" s="155" t="s">
        <v>160</v>
      </c>
      <c r="C169" s="184"/>
      <c r="D169" s="184"/>
      <c r="E169" s="182"/>
      <c r="F169" s="183"/>
      <c r="G169" s="181"/>
      <c r="H169" s="181"/>
      <c r="I169" s="181"/>
      <c r="J169" s="180"/>
      <c r="K169" s="180"/>
      <c r="L169" s="178"/>
      <c r="M169" s="178"/>
      <c r="N169" s="179"/>
    </row>
    <row r="170" spans="1:14" ht="20.100000000000001" customHeight="1">
      <c r="A170" s="112"/>
      <c r="B170" s="155" t="s">
        <v>161</v>
      </c>
      <c r="C170" s="184"/>
      <c r="D170" s="184"/>
      <c r="E170" s="182"/>
      <c r="F170" s="183"/>
      <c r="G170" s="181"/>
      <c r="H170" s="181"/>
      <c r="I170" s="181"/>
      <c r="J170" s="180"/>
      <c r="K170" s="180"/>
      <c r="L170" s="178"/>
      <c r="M170" s="178"/>
      <c r="N170" s="179"/>
    </row>
    <row r="171" spans="1:14" ht="20.100000000000001" customHeight="1">
      <c r="A171" s="98"/>
      <c r="B171" s="155" t="s">
        <v>162</v>
      </c>
      <c r="C171" s="184"/>
      <c r="D171" s="184"/>
      <c r="E171" s="182"/>
      <c r="F171" s="183"/>
      <c r="G171" s="181"/>
      <c r="H171" s="181"/>
      <c r="I171" s="181"/>
      <c r="J171" s="180"/>
      <c r="K171" s="180"/>
      <c r="L171" s="178"/>
      <c r="M171" s="178"/>
      <c r="N171" s="179"/>
    </row>
    <row r="172" spans="1:14" s="121" customFormat="1" ht="20.100000000000001" customHeight="1">
      <c r="A172" s="113" t="s">
        <v>89</v>
      </c>
      <c r="B172" s="156" t="s">
        <v>142</v>
      </c>
      <c r="C172" s="184">
        <v>1</v>
      </c>
      <c r="D172" s="184" t="s">
        <v>154</v>
      </c>
      <c r="E172" s="182">
        <v>96000</v>
      </c>
      <c r="F172" s="183">
        <f t="shared" ref="F172" si="34">E172*C172</f>
        <v>96000</v>
      </c>
      <c r="G172" s="181">
        <v>28800</v>
      </c>
      <c r="H172" s="181">
        <f>G172*C172</f>
        <v>28800</v>
      </c>
      <c r="I172" s="181">
        <f>H172+F172</f>
        <v>124800</v>
      </c>
      <c r="J172" s="180">
        <f>E172*$H$6/$I$6</f>
        <v>122880</v>
      </c>
      <c r="K172" s="180">
        <f>J172*C172</f>
        <v>122880</v>
      </c>
      <c r="L172" s="178">
        <f>G172*$H$7/$I$6</f>
        <v>40320</v>
      </c>
      <c r="M172" s="178">
        <f>L172*C172</f>
        <v>40320</v>
      </c>
      <c r="N172" s="179">
        <f>M172+K172</f>
        <v>163200</v>
      </c>
    </row>
    <row r="173" spans="1:14" ht="20.100000000000001" customHeight="1">
      <c r="A173" s="98"/>
      <c r="B173" s="157" t="s">
        <v>164</v>
      </c>
      <c r="C173" s="184"/>
      <c r="D173" s="184"/>
      <c r="E173" s="182"/>
      <c r="F173" s="183"/>
      <c r="G173" s="181"/>
      <c r="H173" s="181"/>
      <c r="I173" s="181"/>
      <c r="J173" s="180"/>
      <c r="K173" s="180"/>
      <c r="L173" s="178"/>
      <c r="M173" s="178"/>
      <c r="N173" s="179"/>
    </row>
    <row r="174" spans="1:14" ht="20.100000000000001" customHeight="1">
      <c r="A174" s="98"/>
      <c r="B174" s="158" t="s">
        <v>165</v>
      </c>
      <c r="C174" s="184"/>
      <c r="D174" s="184"/>
      <c r="E174" s="182"/>
      <c r="F174" s="183"/>
      <c r="G174" s="181"/>
      <c r="H174" s="181"/>
      <c r="I174" s="181"/>
      <c r="J174" s="180"/>
      <c r="K174" s="180"/>
      <c r="L174" s="178"/>
      <c r="M174" s="178"/>
      <c r="N174" s="179"/>
    </row>
    <row r="175" spans="1:14" ht="20.100000000000001" customHeight="1">
      <c r="A175" s="98"/>
      <c r="B175" s="158" t="s">
        <v>166</v>
      </c>
      <c r="C175" s="184"/>
      <c r="D175" s="184"/>
      <c r="E175" s="182"/>
      <c r="F175" s="183"/>
      <c r="G175" s="181"/>
      <c r="H175" s="181"/>
      <c r="I175" s="181"/>
      <c r="J175" s="180"/>
      <c r="K175" s="180"/>
      <c r="L175" s="178"/>
      <c r="M175" s="178"/>
      <c r="N175" s="179"/>
    </row>
    <row r="176" spans="1:14" ht="20.100000000000001" customHeight="1">
      <c r="A176" s="98"/>
      <c r="B176" s="158" t="s">
        <v>167</v>
      </c>
      <c r="C176" s="184"/>
      <c r="D176" s="184"/>
      <c r="E176" s="182"/>
      <c r="F176" s="183"/>
      <c r="G176" s="181"/>
      <c r="H176" s="181"/>
      <c r="I176" s="181"/>
      <c r="J176" s="180"/>
      <c r="K176" s="180"/>
      <c r="L176" s="178"/>
      <c r="M176" s="178"/>
      <c r="N176" s="179"/>
    </row>
    <row r="177" spans="1:15" ht="20.100000000000001" customHeight="1">
      <c r="A177" s="98"/>
      <c r="B177" s="158" t="s">
        <v>168</v>
      </c>
      <c r="C177" s="184"/>
      <c r="D177" s="184"/>
      <c r="E177" s="182"/>
      <c r="F177" s="183"/>
      <c r="G177" s="181"/>
      <c r="H177" s="181"/>
      <c r="I177" s="181"/>
      <c r="J177" s="180"/>
      <c r="K177" s="180"/>
      <c r="L177" s="178"/>
      <c r="M177" s="178"/>
      <c r="N177" s="179"/>
    </row>
    <row r="178" spans="1:15" ht="20.100000000000001" customHeight="1">
      <c r="A178" s="98"/>
      <c r="B178" s="158" t="s">
        <v>169</v>
      </c>
      <c r="C178" s="184"/>
      <c r="D178" s="184"/>
      <c r="E178" s="182"/>
      <c r="F178" s="183"/>
      <c r="G178" s="181"/>
      <c r="H178" s="181"/>
      <c r="I178" s="181"/>
      <c r="J178" s="180"/>
      <c r="K178" s="180"/>
      <c r="L178" s="178"/>
      <c r="M178" s="178"/>
      <c r="N178" s="179"/>
    </row>
    <row r="179" spans="1:15" ht="20.100000000000001" customHeight="1">
      <c r="A179" s="98"/>
      <c r="B179" s="158" t="s">
        <v>170</v>
      </c>
      <c r="C179" s="184"/>
      <c r="D179" s="184"/>
      <c r="E179" s="182"/>
      <c r="F179" s="183"/>
      <c r="G179" s="181"/>
      <c r="H179" s="181"/>
      <c r="I179" s="181"/>
      <c r="J179" s="180"/>
      <c r="K179" s="180"/>
      <c r="L179" s="178"/>
      <c r="M179" s="178"/>
      <c r="N179" s="179"/>
    </row>
    <row r="180" spans="1:15" ht="20.100000000000001" customHeight="1">
      <c r="A180" s="98"/>
      <c r="B180" s="158" t="s">
        <v>171</v>
      </c>
      <c r="C180" s="184"/>
      <c r="D180" s="184"/>
      <c r="E180" s="182"/>
      <c r="F180" s="183"/>
      <c r="G180" s="181"/>
      <c r="H180" s="181"/>
      <c r="I180" s="181"/>
      <c r="J180" s="180"/>
      <c r="K180" s="180"/>
      <c r="L180" s="178"/>
      <c r="M180" s="178"/>
      <c r="N180" s="179"/>
    </row>
    <row r="181" spans="1:15" s="121" customFormat="1" ht="20.100000000000001" customHeight="1">
      <c r="A181" s="113" t="s">
        <v>97</v>
      </c>
      <c r="B181" s="156" t="s">
        <v>172</v>
      </c>
      <c r="C181" s="184">
        <v>1</v>
      </c>
      <c r="D181" s="184" t="s">
        <v>154</v>
      </c>
      <c r="E181" s="182">
        <v>96000</v>
      </c>
      <c r="F181" s="183">
        <f t="shared" ref="F181" si="35">E181*C181</f>
        <v>96000</v>
      </c>
      <c r="G181" s="181">
        <v>28800</v>
      </c>
      <c r="H181" s="181">
        <f>G181*C181</f>
        <v>28800</v>
      </c>
      <c r="I181" s="181">
        <f>H181+F181</f>
        <v>124800</v>
      </c>
      <c r="J181" s="180">
        <f>E181*$H$6/$I$6</f>
        <v>122880</v>
      </c>
      <c r="K181" s="180">
        <f>J181*C181</f>
        <v>122880</v>
      </c>
      <c r="L181" s="178">
        <f>G181*$H$7/$I$6</f>
        <v>40320</v>
      </c>
      <c r="M181" s="178">
        <f>L181*C181</f>
        <v>40320</v>
      </c>
      <c r="N181" s="179">
        <f>M181+K181</f>
        <v>163200</v>
      </c>
    </row>
    <row r="182" spans="1:15" s="123" customFormat="1" ht="20.100000000000001" customHeight="1">
      <c r="A182" s="122"/>
      <c r="B182" s="157" t="s">
        <v>164</v>
      </c>
      <c r="C182" s="184"/>
      <c r="D182" s="184"/>
      <c r="E182" s="182"/>
      <c r="F182" s="183"/>
      <c r="G182" s="181"/>
      <c r="H182" s="181"/>
      <c r="I182" s="181"/>
      <c r="J182" s="180"/>
      <c r="K182" s="180"/>
      <c r="L182" s="178"/>
      <c r="M182" s="178"/>
      <c r="N182" s="179"/>
    </row>
    <row r="183" spans="1:15" ht="20.100000000000001" customHeight="1">
      <c r="A183" s="98"/>
      <c r="B183" s="158" t="s">
        <v>165</v>
      </c>
      <c r="C183" s="184"/>
      <c r="D183" s="184"/>
      <c r="E183" s="182"/>
      <c r="F183" s="183"/>
      <c r="G183" s="181"/>
      <c r="H183" s="181"/>
      <c r="I183" s="181"/>
      <c r="J183" s="180"/>
      <c r="K183" s="180"/>
      <c r="L183" s="178"/>
      <c r="M183" s="178"/>
      <c r="N183" s="179"/>
    </row>
    <row r="184" spans="1:15" ht="20.100000000000001" customHeight="1">
      <c r="A184" s="98"/>
      <c r="B184" s="158" t="s">
        <v>166</v>
      </c>
      <c r="C184" s="184"/>
      <c r="D184" s="184"/>
      <c r="E184" s="182"/>
      <c r="F184" s="183"/>
      <c r="G184" s="181"/>
      <c r="H184" s="181"/>
      <c r="I184" s="181"/>
      <c r="J184" s="180"/>
      <c r="K184" s="180"/>
      <c r="L184" s="178"/>
      <c r="M184" s="178"/>
      <c r="N184" s="179"/>
    </row>
    <row r="185" spans="1:15" ht="20.100000000000001" customHeight="1">
      <c r="A185" s="98"/>
      <c r="B185" s="158" t="s">
        <v>167</v>
      </c>
      <c r="C185" s="184"/>
      <c r="D185" s="184"/>
      <c r="E185" s="182"/>
      <c r="F185" s="183"/>
      <c r="G185" s="181"/>
      <c r="H185" s="181"/>
      <c r="I185" s="181"/>
      <c r="J185" s="180"/>
      <c r="K185" s="180"/>
      <c r="L185" s="178"/>
      <c r="M185" s="178"/>
      <c r="N185" s="179"/>
    </row>
    <row r="186" spans="1:15" ht="20.100000000000001" customHeight="1">
      <c r="A186" s="98"/>
      <c r="B186" s="158" t="s">
        <v>168</v>
      </c>
      <c r="C186" s="184"/>
      <c r="D186" s="184"/>
      <c r="E186" s="182"/>
      <c r="F186" s="183"/>
      <c r="G186" s="181"/>
      <c r="H186" s="181"/>
      <c r="I186" s="181"/>
      <c r="J186" s="180"/>
      <c r="K186" s="180"/>
      <c r="L186" s="178"/>
      <c r="M186" s="178"/>
      <c r="N186" s="179"/>
    </row>
    <row r="187" spans="1:15" ht="20.100000000000001" customHeight="1">
      <c r="A187" s="98"/>
      <c r="B187" s="158" t="s">
        <v>169</v>
      </c>
      <c r="C187" s="184"/>
      <c r="D187" s="184"/>
      <c r="E187" s="182"/>
      <c r="F187" s="183"/>
      <c r="G187" s="181"/>
      <c r="H187" s="181"/>
      <c r="I187" s="181"/>
      <c r="J187" s="180"/>
      <c r="K187" s="180"/>
      <c r="L187" s="178"/>
      <c r="M187" s="178"/>
      <c r="N187" s="179"/>
    </row>
    <row r="188" spans="1:15" ht="20.100000000000001" customHeight="1">
      <c r="A188" s="98"/>
      <c r="B188" s="158" t="s">
        <v>170</v>
      </c>
      <c r="C188" s="184"/>
      <c r="D188" s="184"/>
      <c r="E188" s="182"/>
      <c r="F188" s="183"/>
      <c r="G188" s="181"/>
      <c r="H188" s="181"/>
      <c r="I188" s="181"/>
      <c r="J188" s="180"/>
      <c r="K188" s="180"/>
      <c r="L188" s="178"/>
      <c r="M188" s="178"/>
      <c r="N188" s="179"/>
    </row>
    <row r="189" spans="1:15" ht="20.100000000000001" customHeight="1">
      <c r="A189" s="98"/>
      <c r="B189" s="158" t="s">
        <v>171</v>
      </c>
      <c r="C189" s="184"/>
      <c r="D189" s="184"/>
      <c r="E189" s="182"/>
      <c r="F189" s="183"/>
      <c r="G189" s="181"/>
      <c r="H189" s="181"/>
      <c r="I189" s="181"/>
      <c r="J189" s="180"/>
      <c r="K189" s="180"/>
      <c r="L189" s="178"/>
      <c r="M189" s="178"/>
      <c r="N189" s="179"/>
    </row>
    <row r="190" spans="1:15" ht="15" customHeight="1">
      <c r="A190" s="77"/>
      <c r="B190" s="203" t="s">
        <v>173</v>
      </c>
      <c r="C190" s="203"/>
      <c r="D190" s="203"/>
      <c r="E190" s="78"/>
      <c r="F190" s="79"/>
      <c r="G190" s="80"/>
      <c r="H190" s="81"/>
      <c r="I190" s="81">
        <f>SUM(I119:I189)</f>
        <v>1059240</v>
      </c>
      <c r="J190" s="78"/>
      <c r="K190" s="79"/>
      <c r="L190" s="80"/>
      <c r="M190" s="81"/>
      <c r="N190" s="106">
        <f>SUM(N119:N189)</f>
        <v>1385160</v>
      </c>
      <c r="O190" s="51"/>
    </row>
    <row r="191" spans="1:15" s="2" customFormat="1" ht="15" customHeight="1">
      <c r="A191" s="85"/>
      <c r="B191" s="201" t="s">
        <v>43</v>
      </c>
      <c r="C191" s="201"/>
      <c r="D191" s="201"/>
      <c r="E191" s="86"/>
      <c r="F191" s="87"/>
      <c r="G191" s="88"/>
      <c r="H191" s="88"/>
      <c r="I191" s="88">
        <f>I190+I32+I118</f>
        <v>2236737.4000000004</v>
      </c>
      <c r="J191" s="86"/>
      <c r="K191" s="87"/>
      <c r="L191" s="88"/>
      <c r="M191" s="88"/>
      <c r="N191" s="107">
        <f>N190+N32+N118</f>
        <v>2940839.24</v>
      </c>
      <c r="O191" s="52"/>
    </row>
    <row r="192" spans="1:15" s="2" customFormat="1" ht="18" customHeight="1">
      <c r="A192" s="85"/>
      <c r="B192" s="202" t="s">
        <v>44</v>
      </c>
      <c r="C192" s="202"/>
      <c r="D192" s="202"/>
      <c r="E192" s="86"/>
      <c r="F192" s="87"/>
      <c r="G192" s="88"/>
      <c r="H192" s="88"/>
      <c r="I192" s="88">
        <f>I191*0.12</f>
        <v>268408.48800000001</v>
      </c>
      <c r="J192" s="86"/>
      <c r="K192" s="87"/>
      <c r="L192" s="88"/>
      <c r="M192" s="88"/>
      <c r="N192" s="107">
        <f>N191*0.12</f>
        <v>352900.70880000002</v>
      </c>
      <c r="O192" s="52"/>
    </row>
    <row r="193" spans="1:15" ht="13.5" thickBot="1">
      <c r="A193" s="159"/>
      <c r="B193" s="200" t="s">
        <v>49</v>
      </c>
      <c r="C193" s="200"/>
      <c r="D193" s="200"/>
      <c r="E193" s="160"/>
      <c r="F193" s="160"/>
      <c r="G193" s="160"/>
      <c r="H193" s="160"/>
      <c r="I193" s="164">
        <f>I192+I191</f>
        <v>2505145.8880000003</v>
      </c>
      <c r="J193" s="164"/>
      <c r="K193" s="164"/>
      <c r="L193" s="164"/>
      <c r="M193" s="164"/>
      <c r="N193" s="165">
        <f>N192+N191</f>
        <v>3293739.9488000004</v>
      </c>
      <c r="O193" s="51"/>
    </row>
    <row r="194" spans="1:15" ht="13.5" thickTop="1"/>
    <row r="196" spans="1:15">
      <c r="A196" s="58" t="s">
        <v>45</v>
      </c>
      <c r="C196" s="55" t="s">
        <v>46</v>
      </c>
    </row>
    <row r="197" spans="1:15">
      <c r="C197" s="55" t="s">
        <v>174</v>
      </c>
    </row>
    <row r="198" spans="1:15">
      <c r="A198" s="97" t="s">
        <v>84</v>
      </c>
      <c r="C198" s="55" t="s">
        <v>47</v>
      </c>
    </row>
    <row r="199" spans="1:15">
      <c r="A199" s="58" t="s">
        <v>85</v>
      </c>
      <c r="C199" s="55" t="s">
        <v>48</v>
      </c>
    </row>
  </sheetData>
  <mergeCells count="110">
    <mergeCell ref="B193:D193"/>
    <mergeCell ref="B191:D191"/>
    <mergeCell ref="B192:D192"/>
    <mergeCell ref="B190:D190"/>
    <mergeCell ref="B118:D118"/>
    <mergeCell ref="I119:I126"/>
    <mergeCell ref="H119:H126"/>
    <mergeCell ref="G119:G126"/>
    <mergeCell ref="F119:F126"/>
    <mergeCell ref="E119:E126"/>
    <mergeCell ref="D119:D126"/>
    <mergeCell ref="C119:C126"/>
    <mergeCell ref="D154:D162"/>
    <mergeCell ref="C154:C162"/>
    <mergeCell ref="F154:F162"/>
    <mergeCell ref="G154:G162"/>
    <mergeCell ref="E154:E162"/>
    <mergeCell ref="C172:C180"/>
    <mergeCell ref="D172:D180"/>
    <mergeCell ref="C181:C189"/>
    <mergeCell ref="D181:D189"/>
    <mergeCell ref="E172:E180"/>
    <mergeCell ref="F172:F180"/>
    <mergeCell ref="G172:G180"/>
    <mergeCell ref="J119:J126"/>
    <mergeCell ref="K119:K126"/>
    <mergeCell ref="L119:L126"/>
    <mergeCell ref="M119:M126"/>
    <mergeCell ref="N119:N126"/>
    <mergeCell ref="A8:A9"/>
    <mergeCell ref="B8:B9"/>
    <mergeCell ref="C8:C9"/>
    <mergeCell ref="D8:D9"/>
    <mergeCell ref="B32:D32"/>
    <mergeCell ref="E8:H8"/>
    <mergeCell ref="I8:I9"/>
    <mergeCell ref="J8:M8"/>
    <mergeCell ref="N8:N9"/>
    <mergeCell ref="N127:N135"/>
    <mergeCell ref="M127:M135"/>
    <mergeCell ref="L127:L135"/>
    <mergeCell ref="K127:K135"/>
    <mergeCell ref="J127:J135"/>
    <mergeCell ref="D127:D135"/>
    <mergeCell ref="C127:C135"/>
    <mergeCell ref="I127:I135"/>
    <mergeCell ref="H127:H135"/>
    <mergeCell ref="G127:G135"/>
    <mergeCell ref="F127:F135"/>
    <mergeCell ref="E127:E135"/>
    <mergeCell ref="N145:N153"/>
    <mergeCell ref="D145:D153"/>
    <mergeCell ref="C145:C153"/>
    <mergeCell ref="I145:I153"/>
    <mergeCell ref="H145:H153"/>
    <mergeCell ref="G145:G153"/>
    <mergeCell ref="F145:F153"/>
    <mergeCell ref="E145:E153"/>
    <mergeCell ref="D136:D144"/>
    <mergeCell ref="C136:C144"/>
    <mergeCell ref="N136:N144"/>
    <mergeCell ref="M136:M144"/>
    <mergeCell ref="L136:L144"/>
    <mergeCell ref="K136:K144"/>
    <mergeCell ref="J136:J144"/>
    <mergeCell ref="I136:I144"/>
    <mergeCell ref="H136:H144"/>
    <mergeCell ref="G136:G144"/>
    <mergeCell ref="F136:F144"/>
    <mergeCell ref="E136:E144"/>
    <mergeCell ref="J145:J153"/>
    <mergeCell ref="K145:K153"/>
    <mergeCell ref="L145:L153"/>
    <mergeCell ref="M145:M153"/>
    <mergeCell ref="C163:C171"/>
    <mergeCell ref="D163:D171"/>
    <mergeCell ref="F163:F171"/>
    <mergeCell ref="H163:H171"/>
    <mergeCell ref="G163:G171"/>
    <mergeCell ref="E163:E171"/>
    <mergeCell ref="I163:I171"/>
    <mergeCell ref="J163:J171"/>
    <mergeCell ref="K163:K171"/>
    <mergeCell ref="E181:E189"/>
    <mergeCell ref="F181:F189"/>
    <mergeCell ref="G181:G189"/>
    <mergeCell ref="H181:H189"/>
    <mergeCell ref="I181:I189"/>
    <mergeCell ref="J181:J189"/>
    <mergeCell ref="K181:K189"/>
    <mergeCell ref="M154:M162"/>
    <mergeCell ref="N154:N162"/>
    <mergeCell ref="L163:L171"/>
    <mergeCell ref="M163:M171"/>
    <mergeCell ref="N163:N171"/>
    <mergeCell ref="I154:I162"/>
    <mergeCell ref="H154:H162"/>
    <mergeCell ref="J154:J162"/>
    <mergeCell ref="K154:K162"/>
    <mergeCell ref="L154:L162"/>
    <mergeCell ref="L181:L189"/>
    <mergeCell ref="M181:M189"/>
    <mergeCell ref="N181:N189"/>
    <mergeCell ref="J172:J180"/>
    <mergeCell ref="K172:K180"/>
    <mergeCell ref="L172:L180"/>
    <mergeCell ref="M172:M180"/>
    <mergeCell ref="N172:N180"/>
    <mergeCell ref="H172:H180"/>
    <mergeCell ref="I172:I180"/>
  </mergeCells>
  <pageMargins left="0.7" right="0.7" top="0.75" bottom="0.75" header="0.3" footer="0.3"/>
  <pageSetup paperSize="9" scale="79" fitToHeight="0" orientation="landscape" r:id="rId1"/>
  <headerFooter>
    <oddFooter>&amp;L&amp;F&amp;RPage &amp;P of &amp;N</oddFooter>
  </headerFooter>
  <rowBreaks count="4" manualBreakCount="4">
    <brk id="32" max="13" man="1"/>
    <brk id="118" max="13" man="1"/>
    <brk id="162" max="13" man="1"/>
    <brk id="180" max="1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AE26F7-E835-48DB-8A1D-C1ED0FC256C7}">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COVER LETTER</vt:lpstr>
      <vt:lpstr>Table 1</vt:lpstr>
      <vt:lpstr>'COVER LETTER'!Print_Area</vt:lpstr>
      <vt:lpstr>'Table 1'!Print_Area</vt:lpstr>
      <vt:lpstr>'Table 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aldaba</dc:creator>
  <cp:lastModifiedBy>EYE-ENGR01</cp:lastModifiedBy>
  <cp:lastPrinted>2026-09-29T10:13:38Z</cp:lastPrinted>
  <dcterms:created xsi:type="dcterms:W3CDTF">2024-01-09T02:53:37Z</dcterms:created>
  <dcterms:modified xsi:type="dcterms:W3CDTF">2026-09-29T11:33:30Z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2024-01-06T00:00:00Z</vt:filetime>
  </property>
  <property fmtid="{D5CDD505-2E9C-101B-9397-08002B2CF9AE}" pid="3" name="Creator">
    <vt:lpwstr>Microsoft® Word 2019</vt:lpwstr>
  </property>
  <property fmtid="{D5CDD505-2E9C-101B-9397-08002B2CF9AE}" pid="4" name="LastSaved">
    <vt:filetime>2024-01-09T00:00:00Z</vt:filetime>
  </property>
  <property fmtid="{D5CDD505-2E9C-101B-9397-08002B2CF9AE}" pid="5" name="Producer">
    <vt:lpwstr>Microsoft® Word 2019</vt:lpwstr>
  </property>
  <property fmtid="{D5CDD505-2E9C-101B-9397-08002B2CF9AE}" pid="6" name="PS9Connected">
    <vt:bool>true</vt:bool>
  </property>
  <property fmtid="{D5CDD505-2E9C-101B-9397-08002B2CF9AE}" pid="7" name="PlanSwiftJobName">
    <vt:lpwstr/>
  </property>
  <property fmtid="{D5CDD505-2E9C-101B-9397-08002B2CF9AE}" pid="8" name="PlanSwiftJobGuid">
    <vt:lpwstr/>
  </property>
  <property fmtid="{D5CDD505-2E9C-101B-9397-08002B2CF9AE}" pid="9" name="LinkedDataId">
    <vt:lpwstr>{3FAE26F7-E835-48DB-8A1D-C1ED0FC256C7}</vt:lpwstr>
  </property>
</Properties>
</file>